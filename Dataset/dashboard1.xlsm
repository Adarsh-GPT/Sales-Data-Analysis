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hidePivotFieldList="1" defaultThemeVersion="166925"/>
  <mc:AlternateContent xmlns:mc="http://schemas.openxmlformats.org/markup-compatibility/2006">
    <mc:Choice Requires="x15">
      <x15ac:absPath xmlns:x15ac="http://schemas.microsoft.com/office/spreadsheetml/2010/11/ac" url="C:\Users\Adarsh Kore\OneDrive\Documents\Projects\Excel\Project 1\"/>
    </mc:Choice>
  </mc:AlternateContent>
  <xr:revisionPtr revIDLastSave="0" documentId="13_ncr:1_{64C97F90-54F8-49A1-BC6D-3F8786836B4D}" xr6:coauthVersionLast="47" xr6:coauthVersionMax="47" xr10:uidLastSave="{00000000-0000-0000-0000-000000000000}"/>
  <bookViews>
    <workbookView xWindow="-108" yWindow="-108" windowWidth="23256" windowHeight="12456" activeTab="2" xr2:uid="{214750E2-653F-4B5F-A587-6D15EAEE2A5A}"/>
  </bookViews>
  <sheets>
    <sheet name="Sheet2" sheetId="3" r:id="rId1"/>
    <sheet name="superstore_sales_with_issues" sheetId="1" r:id="rId2"/>
    <sheet name="Dashboard" sheetId="2" r:id="rId3"/>
    <sheet name="KPI_Summary" sheetId="4" r:id="rId4"/>
  </sheets>
  <definedNames>
    <definedName name="Slicer_Category">#N/A</definedName>
    <definedName name="Slicer_Months__Order_Date">#N/A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 i="2" l="1"/>
  <c r="E3" i="4"/>
  <c r="AC7" i="2" s="1"/>
  <c r="C3" i="4"/>
  <c r="Q7" i="2" s="1"/>
  <c r="B3" i="4"/>
  <c r="D3" i="4"/>
  <c r="W7" i="2" s="1"/>
  <c r="A3" i="4"/>
  <c r="E7" i="2" s="1"/>
  <c r="L4" i="1"/>
  <c r="L3" i="1"/>
  <c r="L2" i="1"/>
</calcChain>
</file>

<file path=xl/sharedStrings.xml><?xml version="1.0" encoding="utf-8"?>
<sst xmlns="http://schemas.openxmlformats.org/spreadsheetml/2006/main" count="848" uniqueCount="50">
  <si>
    <t>Order ID</t>
  </si>
  <si>
    <t>Order Date</t>
  </si>
  <si>
    <t>Region</t>
  </si>
  <si>
    <t>Product</t>
  </si>
  <si>
    <t>Category</t>
  </si>
  <si>
    <t>Sales</t>
  </si>
  <si>
    <t>Profit</t>
  </si>
  <si>
    <t>Quantity</t>
  </si>
  <si>
    <t>Customer Segment</t>
  </si>
  <si>
    <t>East</t>
  </si>
  <si>
    <t>Bookshelf</t>
  </si>
  <si>
    <t>Furniture</t>
  </si>
  <si>
    <t>Corporate</t>
  </si>
  <si>
    <t>Table</t>
  </si>
  <si>
    <t>South</t>
  </si>
  <si>
    <t>Pen</t>
  </si>
  <si>
    <t>Office Supplies</t>
  </si>
  <si>
    <t>Home Office</t>
  </si>
  <si>
    <t>West</t>
  </si>
  <si>
    <t>Laptop</t>
  </si>
  <si>
    <t>Technology</t>
  </si>
  <si>
    <t>Consumer</t>
  </si>
  <si>
    <t>Chair</t>
  </si>
  <si>
    <t>North</t>
  </si>
  <si>
    <t>Notebook</t>
  </si>
  <si>
    <t>Smartphone</t>
  </si>
  <si>
    <t>Small Business</t>
  </si>
  <si>
    <t>Printer</t>
  </si>
  <si>
    <t>Stapler</t>
  </si>
  <si>
    <t>Row Labels</t>
  </si>
  <si>
    <t>Grand Total</t>
  </si>
  <si>
    <t>Sum of Sales</t>
  </si>
  <si>
    <t>Jan</t>
  </si>
  <si>
    <t>Feb</t>
  </si>
  <si>
    <t>Mar</t>
  </si>
  <si>
    <t>Apr</t>
  </si>
  <si>
    <t>May</t>
  </si>
  <si>
    <t>Jun</t>
  </si>
  <si>
    <t>Jul</t>
  </si>
  <si>
    <t>Aug</t>
  </si>
  <si>
    <t>Sep</t>
  </si>
  <si>
    <t>Oct</t>
  </si>
  <si>
    <t>Nov</t>
  </si>
  <si>
    <t>Dec</t>
  </si>
  <si>
    <t>Total Sales</t>
  </si>
  <si>
    <t>Total Profit</t>
  </si>
  <si>
    <t>Total Orders</t>
  </si>
  <si>
    <t>Profit Margin</t>
  </si>
  <si>
    <t>Average Sales</t>
  </si>
  <si>
    <t>Sales Data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</si>
</sst>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_ [$₹-4009]\ * #,##0.00_ ;_ [$₹-4009]\ * \-#,##0.00_ ;_ [$₹-4009]\ * &quot;-&quot;??_ ;_ @_ "/>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28"/>
      <color theme="1"/>
      <name val="Footlight MT Light"/>
      <family val="1"/>
    </font>
    <font>
      <sz val="28"/>
      <color theme="1"/>
      <name val="Calibri"/>
      <family val="2"/>
      <scheme val="minor"/>
    </font>
    <font>
      <sz val="14"/>
      <color theme="1"/>
      <name val="Calibri"/>
      <family val="2"/>
      <scheme val="minor"/>
    </font>
    <font>
      <b/>
      <sz val="16"/>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9" tint="0.59999389629810485"/>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4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14" fontId="0" fillId="0" borderId="0" xfId="0" applyNumberFormat="1"/>
    <xf numFmtId="1"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applyAlignment="1">
      <alignment horizontal="center"/>
    </xf>
    <xf numFmtId="1" fontId="0" fillId="0" borderId="0" xfId="0" applyNumberFormat="1" applyAlignment="1">
      <alignment horizontal="center"/>
    </xf>
    <xf numFmtId="2" fontId="0" fillId="0" borderId="0" xfId="2" applyNumberFormat="1" applyFont="1" applyAlignment="1">
      <alignment horizontal="center"/>
    </xf>
    <xf numFmtId="0" fontId="0" fillId="33" borderId="11" xfId="0" applyFill="1" applyBorder="1"/>
    <xf numFmtId="0" fontId="0" fillId="33" borderId="12" xfId="0" applyFill="1" applyBorder="1"/>
    <xf numFmtId="0" fontId="0" fillId="33" borderId="13" xfId="0" applyFill="1" applyBorder="1"/>
    <xf numFmtId="0" fontId="21" fillId="35" borderId="10" xfId="0" applyFont="1" applyFill="1" applyBorder="1" applyAlignment="1">
      <alignment horizontal="center" vertical="center"/>
    </xf>
    <xf numFmtId="0" fontId="0" fillId="35" borderId="10" xfId="0" applyFill="1" applyBorder="1" applyAlignment="1">
      <alignment horizontal="center" vertical="center"/>
    </xf>
    <xf numFmtId="0" fontId="18" fillId="34" borderId="10" xfId="0" applyFont="1" applyFill="1" applyBorder="1" applyAlignment="1">
      <alignment horizontal="center"/>
    </xf>
    <xf numFmtId="0" fontId="19" fillId="34" borderId="10" xfId="0" applyFont="1" applyFill="1" applyBorder="1" applyAlignment="1">
      <alignment horizontal="center"/>
    </xf>
    <xf numFmtId="2" fontId="20" fillId="36" borderId="10" xfId="1" applyNumberFormat="1" applyFont="1" applyFill="1" applyBorder="1" applyAlignment="1">
      <alignment horizontal="center" vertical="center"/>
    </xf>
    <xf numFmtId="1" fontId="20" fillId="36" borderId="10" xfId="1" applyNumberFormat="1" applyFont="1" applyFill="1" applyBorder="1" applyAlignment="1">
      <alignment horizontal="center" vertical="center"/>
    </xf>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urrency" xfId="1"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3">
    <dxf>
      <fill>
        <patternFill>
          <bgColor rgb="FFFFFF00"/>
        </patternFill>
      </fill>
    </dxf>
    <dxf>
      <fill>
        <patternFill>
          <bgColor rgb="FFFFC000"/>
        </patternFill>
      </fill>
    </dxf>
    <dxf>
      <fill>
        <patternFill>
          <bgColor rgb="FFE2F0D9"/>
        </patternFill>
      </fill>
    </dxf>
  </dxfs>
  <tableStyles count="1" defaultTableStyle="TableStyleMedium2" defaultPivotStyle="PivotStyleLight16">
    <tableStyle name="Slicer Style 1" pivot="0" table="0" count="4" xr9:uid="{3AA2C2DF-3CD1-4663-B5E2-B6B7B9D8C1A4}">
      <tableStyleElement type="wholeTable" dxfId="2"/>
      <tableStyleElement type="headerRow" dxfId="1"/>
    </tableStyle>
  </tableStyles>
  <colors>
    <mruColors>
      <color rgb="FFFFFFFF"/>
      <color rgb="FF008080"/>
      <color rgb="FF2F4F4F"/>
      <color rgb="FFE2F0D9"/>
      <color rgb="FFD9D9D9"/>
      <color rgb="FFBDD7EE"/>
      <color rgb="FF1F4E79"/>
    </mruColors>
  </colors>
  <extLst>
    <ext xmlns:x14="http://schemas.microsoft.com/office/spreadsheetml/2009/9/main" uri="{46F421CA-312F-682f-3DD2-61675219B42D}">
      <x14:dxfs count="2">
        <dxf>
          <fill>
            <patternFill>
              <bgColor rgb="FF008080"/>
            </patternFill>
          </fill>
        </dxf>
        <dxf>
          <fill>
            <patternFill>
              <bgColor rgb="FFFFFF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[dashboard1.xlsm]Sheet2!PivotTable1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Sheet2!$A$4:$A$8</c:f>
              <c:strCache>
                <c:ptCount val="4"/>
                <c:pt idx="0">
                  <c:v>East</c:v>
                </c:pt>
                <c:pt idx="1">
                  <c:v>North</c:v>
                </c:pt>
                <c:pt idx="2">
                  <c:v>South</c:v>
                </c:pt>
                <c:pt idx="3">
                  <c:v>West</c:v>
                </c:pt>
              </c:strCache>
            </c:strRef>
          </c:cat>
          <c:val>
            <c:numRef>
              <c:f>Sheet2!$B$4:$B$8</c:f>
              <c:numCache>
                <c:formatCode>0</c:formatCode>
                <c:ptCount val="4"/>
                <c:pt idx="0">
                  <c:v>90161.448105263131</c:v>
                </c:pt>
                <c:pt idx="1">
                  <c:v>79344.477157894726</c:v>
                </c:pt>
                <c:pt idx="2">
                  <c:v>63540.988105263154</c:v>
                </c:pt>
                <c:pt idx="3">
                  <c:v>49640.897157894738</c:v>
                </c:pt>
              </c:numCache>
            </c:numRef>
          </c:val>
          <c:extLst>
            <c:ext xmlns:c16="http://schemas.microsoft.com/office/drawing/2014/chart" uri="{C3380CC4-5D6E-409C-BE32-E72D297353CC}">
              <c16:uniqueId val="{00000000-64DC-4E41-92EE-DAEF8CD06B75}"/>
            </c:ext>
          </c:extLst>
        </c:ser>
        <c:dLbls>
          <c:showLegendKey val="0"/>
          <c:showVal val="0"/>
          <c:showCatName val="0"/>
          <c:showSerName val="0"/>
          <c:showPercent val="0"/>
          <c:showBubbleSize val="0"/>
        </c:dLbls>
        <c:gapWidth val="219"/>
        <c:overlap val="-27"/>
        <c:axId val="2100288687"/>
        <c:axId val="2100291087"/>
      </c:barChart>
      <c:catAx>
        <c:axId val="2100288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91087"/>
        <c:crosses val="autoZero"/>
        <c:auto val="1"/>
        <c:lblAlgn val="ctr"/>
        <c:lblOffset val="100"/>
        <c:noMultiLvlLbl val="0"/>
      </c:catAx>
      <c:valAx>
        <c:axId val="21002910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8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Sheet2!$J$2</c:f>
              <c:strCache>
                <c:ptCount val="1"/>
                <c:pt idx="0">
                  <c:v>Total</c:v>
                </c:pt>
              </c:strCache>
            </c:strRef>
          </c:tx>
          <c:spPr>
            <a:ln w="28575" cap="rnd">
              <a:solidFill>
                <a:schemeClr val="accent1"/>
              </a:solidFill>
              <a:round/>
            </a:ln>
            <a:effectLst/>
          </c:spPr>
          <c:marker>
            <c:symbol val="none"/>
          </c:marker>
          <c:cat>
            <c:strRef>
              <c:f>Sheet2!$I$3:$I$15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Sheet2!$J$3:$J$15</c:f>
              <c:numCache>
                <c:formatCode>0</c:formatCode>
                <c:ptCount val="12"/>
                <c:pt idx="0">
                  <c:v>30433.818105263166</c:v>
                </c:pt>
                <c:pt idx="1">
                  <c:v>17357.059999999998</c:v>
                </c:pt>
                <c:pt idx="2">
                  <c:v>23164.059999999998</c:v>
                </c:pt>
                <c:pt idx="3">
                  <c:v>26668.68905263158</c:v>
                </c:pt>
                <c:pt idx="4">
                  <c:v>21149.06</c:v>
                </c:pt>
                <c:pt idx="5">
                  <c:v>16460.769052631578</c:v>
                </c:pt>
                <c:pt idx="6">
                  <c:v>21279.328105263161</c:v>
                </c:pt>
                <c:pt idx="7">
                  <c:v>27339.729052631585</c:v>
                </c:pt>
                <c:pt idx="8">
                  <c:v>17258.289052631579</c:v>
                </c:pt>
                <c:pt idx="9">
                  <c:v>34875.809052631579</c:v>
                </c:pt>
                <c:pt idx="10">
                  <c:v>20283.439999999999</c:v>
                </c:pt>
                <c:pt idx="11">
                  <c:v>26417.759052631583</c:v>
                </c:pt>
              </c:numCache>
            </c:numRef>
          </c:val>
          <c:smooth val="0"/>
          <c:extLst>
            <c:ext xmlns:c16="http://schemas.microsoft.com/office/drawing/2014/chart" uri="{C3380CC4-5D6E-409C-BE32-E72D297353CC}">
              <c16:uniqueId val="{00000000-0C04-4708-8A22-EC390C20C525}"/>
            </c:ext>
          </c:extLst>
        </c:ser>
        <c:dLbls>
          <c:showLegendKey val="0"/>
          <c:showVal val="0"/>
          <c:showCatName val="0"/>
          <c:showSerName val="0"/>
          <c:showPercent val="0"/>
          <c:showBubbleSize val="0"/>
        </c:dLbls>
        <c:smooth val="0"/>
        <c:axId val="2100289647"/>
        <c:axId val="2100289167"/>
      </c:lineChart>
      <c:catAx>
        <c:axId val="210028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9167"/>
        <c:crosses val="autoZero"/>
        <c:auto val="1"/>
        <c:lblAlgn val="ctr"/>
        <c:lblOffset val="100"/>
        <c:noMultiLvlLbl val="0"/>
      </c:catAx>
      <c:valAx>
        <c:axId val="21002891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9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[dashboard1.xlsm]Sheet2!PivotTable3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Sheet2!$R$2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AE-4213-8CDC-8D9EDE0FDC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AE-4213-8CDC-8D9EDE0FDC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AE-4213-8CDC-8D9EDE0FDCEB}"/>
              </c:ext>
            </c:extLst>
          </c:dPt>
          <c:cat>
            <c:strRef>
              <c:f>Sheet2!$Q$3:$Q$6</c:f>
              <c:strCache>
                <c:ptCount val="3"/>
                <c:pt idx="0">
                  <c:v>Furniture</c:v>
                </c:pt>
                <c:pt idx="1">
                  <c:v>Office Supplies</c:v>
                </c:pt>
                <c:pt idx="2">
                  <c:v>Technology</c:v>
                </c:pt>
              </c:strCache>
            </c:strRef>
          </c:cat>
          <c:val>
            <c:numRef>
              <c:f>Sheet2!$R$3:$R$6</c:f>
              <c:numCache>
                <c:formatCode>0</c:formatCode>
                <c:ptCount val="3"/>
                <c:pt idx="0">
                  <c:v>95566.405263157911</c:v>
                </c:pt>
                <c:pt idx="1">
                  <c:v>85734.849052631558</c:v>
                </c:pt>
                <c:pt idx="2">
                  <c:v>101386.55621052631</c:v>
                </c:pt>
              </c:numCache>
            </c:numRef>
          </c:val>
          <c:extLst>
            <c:ext xmlns:c16="http://schemas.microsoft.com/office/drawing/2014/chart" uri="{C3380CC4-5D6E-409C-BE32-E72D297353CC}">
              <c16:uniqueId val="{00000000-102C-4D27-98FF-097FF3E9E2B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[dashboard1.xlsm]Sheet2!PivotTable1</c:name>
    <c:fmtId val="4"/>
  </c:pivotSource>
  <c:chart>
    <c:title>
      <c:tx>
        <c:rich>
          <a:bodyPr rot="0" spcFirstLastPara="1" vertOverflow="ellipsis" vert="horz" wrap="square" anchor="ctr" anchorCtr="1"/>
          <a:lstStyle/>
          <a:p>
            <a:pPr algn="ctr">
              <a:defRPr lang="en-US" sz="900" b="0" i="0" u="none" strike="noStrike" kern="1200" spc="0" baseline="0">
                <a:solidFill>
                  <a:schemeClr val="tx1">
                    <a:lumMod val="75000"/>
                    <a:lumOff val="25000"/>
                  </a:schemeClr>
                </a:solidFill>
                <a:latin typeface="+mn-lt"/>
                <a:ea typeface="+mn-ea"/>
                <a:cs typeface="+mn-cs"/>
              </a:defRPr>
            </a:pPr>
            <a:r>
              <a:rPr lang="en-US" sz="1600" b="1" i="0" u="none" strike="noStrike" kern="1200" baseline="0">
                <a:solidFill>
                  <a:schemeClr val="tx1"/>
                </a:solidFill>
                <a:latin typeface="+mn-lt"/>
                <a:ea typeface="+mn-ea"/>
                <a:cs typeface="+mn-cs"/>
              </a:rPr>
              <a:t>Sales By Region</a:t>
            </a:r>
          </a:p>
        </c:rich>
      </c:tx>
      <c:overlay val="0"/>
      <c:spPr>
        <a:noFill/>
        <a:ln>
          <a:noFill/>
        </a:ln>
        <a:effectLst/>
      </c:spPr>
      <c:txPr>
        <a:bodyPr rot="0" spcFirstLastPara="1" vertOverflow="ellipsis" vert="horz" wrap="square" anchor="ctr" anchorCtr="1"/>
        <a:lstStyle/>
        <a:p>
          <a:pPr algn="ctr">
            <a:defRPr lang="en-US" sz="9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Sheet2!$A$4:$A$8</c:f>
              <c:strCache>
                <c:ptCount val="4"/>
                <c:pt idx="0">
                  <c:v>East</c:v>
                </c:pt>
                <c:pt idx="1">
                  <c:v>North</c:v>
                </c:pt>
                <c:pt idx="2">
                  <c:v>South</c:v>
                </c:pt>
                <c:pt idx="3">
                  <c:v>West</c:v>
                </c:pt>
              </c:strCache>
            </c:strRef>
          </c:cat>
          <c:val>
            <c:numRef>
              <c:f>Sheet2!$B$4:$B$8</c:f>
              <c:numCache>
                <c:formatCode>0</c:formatCode>
                <c:ptCount val="4"/>
                <c:pt idx="0">
                  <c:v>90161.448105263131</c:v>
                </c:pt>
                <c:pt idx="1">
                  <c:v>79344.477157894726</c:v>
                </c:pt>
                <c:pt idx="2">
                  <c:v>63540.988105263154</c:v>
                </c:pt>
                <c:pt idx="3">
                  <c:v>49640.897157894738</c:v>
                </c:pt>
              </c:numCache>
            </c:numRef>
          </c:val>
          <c:extLst>
            <c:ext xmlns:c16="http://schemas.microsoft.com/office/drawing/2014/chart" uri="{C3380CC4-5D6E-409C-BE32-E72D297353CC}">
              <c16:uniqueId val="{00000000-9D1E-4362-87A2-B0AC9B619F8D}"/>
            </c:ext>
          </c:extLst>
        </c:ser>
        <c:dLbls>
          <c:showLegendKey val="0"/>
          <c:showVal val="0"/>
          <c:showCatName val="0"/>
          <c:showSerName val="0"/>
          <c:showPercent val="0"/>
          <c:showBubbleSize val="0"/>
        </c:dLbls>
        <c:gapWidth val="219"/>
        <c:overlap val="-27"/>
        <c:axId val="2100288687"/>
        <c:axId val="2100291087"/>
      </c:barChart>
      <c:catAx>
        <c:axId val="21002886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chemeClr val="tx1"/>
                    </a:solidFill>
                  </a:rPr>
                  <a:t>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91087"/>
        <c:crosses val="autoZero"/>
        <c:auto val="1"/>
        <c:lblAlgn val="ctr"/>
        <c:lblOffset val="100"/>
        <c:noMultiLvlLbl val="0"/>
      </c:catAx>
      <c:valAx>
        <c:axId val="21002910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IN" sz="1000" b="1" i="0" u="none" strike="noStrike" kern="1200" baseline="0">
                    <a:solidFill>
                      <a:schemeClr val="tx1"/>
                    </a:solidFill>
                    <a:latin typeface="+mn-lt"/>
                    <a:ea typeface="+mn-ea"/>
                    <a:cs typeface="+mn-cs"/>
                  </a:defRPr>
                </a:pPr>
                <a:r>
                  <a:rPr lang="en-IN" sz="1000" b="1" i="0" u="none" strike="noStrike" kern="1200" baseline="0">
                    <a:solidFill>
                      <a:schemeClr val="tx1"/>
                    </a:solidFill>
                    <a:latin typeface="+mn-lt"/>
                    <a:ea typeface="+mn-ea"/>
                    <a:cs typeface="+mn-cs"/>
                  </a:rPr>
                  <a:t>Sales</a:t>
                </a:r>
              </a:p>
              <a:p>
                <a:pPr algn="ctr" rtl="0">
                  <a:defRPr lang="en-IN" b="1">
                    <a:solidFill>
                      <a:schemeClr val="tx1"/>
                    </a:solidFill>
                  </a:defRPr>
                </a:pPr>
                <a:endParaRPr lang="en-IN" sz="1000" b="1" i="0" u="none" strike="noStrike" kern="1200" baseline="0">
                  <a:solidFill>
                    <a:schemeClr val="tx1"/>
                  </a:solidFill>
                  <a:latin typeface="+mn-lt"/>
                  <a:ea typeface="+mn-ea"/>
                  <a:cs typeface="+mn-cs"/>
                </a:endParaRPr>
              </a:p>
            </c:rich>
          </c:tx>
          <c:layout>
            <c:manualLayout>
              <c:xMode val="edge"/>
              <c:yMode val="edge"/>
              <c:x val="2.7777777777777776E-2"/>
              <c:y val="0.43052456984543591"/>
            </c:manualLayout>
          </c:layout>
          <c:overlay val="0"/>
          <c:spPr>
            <a:noFill/>
            <a:ln>
              <a:noFill/>
            </a:ln>
            <a:effectLst/>
          </c:spPr>
          <c:txPr>
            <a:bodyPr rot="-5400000" spcFirstLastPara="1" vertOverflow="ellipsis" vert="horz" wrap="square" anchor="ctr" anchorCtr="1"/>
            <a:lstStyle/>
            <a:p>
              <a:pPr algn="ctr" rtl="0">
                <a:defRPr lang="en-IN" sz="1000" b="1"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8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[dashboard1.xlsm]Sheet2!PivotTable2</c:name>
    <c:fmtId val="4"/>
  </c:pivotSource>
  <c:chart>
    <c:title>
      <c:tx>
        <c:rich>
          <a:bodyPr rot="0" spcFirstLastPara="1" vertOverflow="ellipsis" vert="horz" wrap="square" anchor="ctr" anchorCtr="1"/>
          <a:lstStyle/>
          <a:p>
            <a:pPr algn="ctr" rtl="0">
              <a:defRPr lang="en-US" sz="1600" b="1" i="0" u="none" strike="noStrike" kern="1200" spc="0" baseline="0">
                <a:solidFill>
                  <a:schemeClr val="tx1"/>
                </a:solidFill>
                <a:latin typeface="+mn-lt"/>
                <a:ea typeface="+mn-ea"/>
                <a:cs typeface="+mn-cs"/>
              </a:defRPr>
            </a:pPr>
            <a:r>
              <a:rPr lang="en-US" sz="1600" b="1" i="0" u="none" strike="noStrike" kern="1200" spc="0" baseline="0">
                <a:solidFill>
                  <a:schemeClr val="tx1"/>
                </a:solidFill>
                <a:latin typeface="+mn-lt"/>
                <a:ea typeface="+mn-ea"/>
                <a:cs typeface="+mn-cs"/>
              </a:rPr>
              <a:t>Monthly Sales Trend</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Sheet2!$J$2</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Sheet2!$I$3:$I$15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Sheet2!$J$3:$J$15</c:f>
              <c:numCache>
                <c:formatCode>0</c:formatCode>
                <c:ptCount val="12"/>
                <c:pt idx="0">
                  <c:v>30433.818105263166</c:v>
                </c:pt>
                <c:pt idx="1">
                  <c:v>17357.059999999998</c:v>
                </c:pt>
                <c:pt idx="2">
                  <c:v>23164.059999999998</c:v>
                </c:pt>
                <c:pt idx="3">
                  <c:v>26668.68905263158</c:v>
                </c:pt>
                <c:pt idx="4">
                  <c:v>21149.06</c:v>
                </c:pt>
                <c:pt idx="5">
                  <c:v>16460.769052631578</c:v>
                </c:pt>
                <c:pt idx="6">
                  <c:v>21279.328105263161</c:v>
                </c:pt>
                <c:pt idx="7">
                  <c:v>27339.729052631585</c:v>
                </c:pt>
                <c:pt idx="8">
                  <c:v>17258.289052631579</c:v>
                </c:pt>
                <c:pt idx="9">
                  <c:v>34875.809052631579</c:v>
                </c:pt>
                <c:pt idx="10">
                  <c:v>20283.439999999999</c:v>
                </c:pt>
                <c:pt idx="11">
                  <c:v>26417.759052631583</c:v>
                </c:pt>
              </c:numCache>
            </c:numRef>
          </c:val>
          <c:smooth val="0"/>
          <c:extLst>
            <c:ext xmlns:c16="http://schemas.microsoft.com/office/drawing/2014/chart" uri="{C3380CC4-5D6E-409C-BE32-E72D297353CC}">
              <c16:uniqueId val="{00000000-E9B8-4D2C-B1D8-82E77E3E54AB}"/>
            </c:ext>
          </c:extLst>
        </c:ser>
        <c:dLbls>
          <c:showLegendKey val="0"/>
          <c:showVal val="0"/>
          <c:showCatName val="0"/>
          <c:showSerName val="0"/>
          <c:showPercent val="0"/>
          <c:showBubbleSize val="0"/>
        </c:dLbls>
        <c:smooth val="0"/>
        <c:axId val="2100289647"/>
        <c:axId val="2100289167"/>
      </c:lineChart>
      <c:catAx>
        <c:axId val="2100289647"/>
        <c:scaling>
          <c:orientation val="minMax"/>
        </c:scaling>
        <c:delete val="0"/>
        <c:axPos val="b"/>
        <c:title>
          <c:tx>
            <c:rich>
              <a:bodyPr rot="0" spcFirstLastPara="1" vertOverflow="ellipsis" vert="horz" wrap="square" anchor="ctr" anchorCtr="1"/>
              <a:lstStyle/>
              <a:p>
                <a:pPr algn="ctr" rtl="0">
                  <a:defRPr lang="en-IN" sz="1000" b="1" i="0" u="none" strike="noStrike" kern="1200" baseline="0">
                    <a:solidFill>
                      <a:schemeClr val="tx1"/>
                    </a:solidFill>
                    <a:latin typeface="+mn-lt"/>
                    <a:ea typeface="+mn-ea"/>
                    <a:cs typeface="+mn-cs"/>
                  </a:defRPr>
                </a:pPr>
                <a:r>
                  <a:rPr lang="en-IN" sz="1000" b="1" i="0" u="none" strike="noStrike" kern="1200" baseline="0">
                    <a:solidFill>
                      <a:schemeClr val="tx1"/>
                    </a:solidFill>
                    <a:latin typeface="+mn-lt"/>
                    <a:ea typeface="+mn-ea"/>
                    <a:cs typeface="+mn-cs"/>
                  </a:rPr>
                  <a:t>Order Date by MONTHS</a:t>
                </a:r>
              </a:p>
            </c:rich>
          </c:tx>
          <c:overlay val="0"/>
          <c:spPr>
            <a:noFill/>
            <a:ln>
              <a:noFill/>
            </a:ln>
            <a:effectLst/>
          </c:spPr>
          <c:txPr>
            <a:bodyPr rot="0" spcFirstLastPara="1" vertOverflow="ellipsis" vert="horz" wrap="square" anchor="ctr" anchorCtr="1"/>
            <a:lstStyle/>
            <a:p>
              <a:pPr algn="ctr" rtl="0">
                <a:defRPr lang="en-IN"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9167"/>
        <c:crosses val="autoZero"/>
        <c:auto val="1"/>
        <c:lblAlgn val="ctr"/>
        <c:lblOffset val="100"/>
        <c:noMultiLvlLbl val="0"/>
      </c:catAx>
      <c:valAx>
        <c:axId val="21002891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IN" sz="1000" b="1" i="0" u="none" strike="noStrike" kern="1200" baseline="0">
                    <a:solidFill>
                      <a:schemeClr val="tx1"/>
                    </a:solidFill>
                    <a:latin typeface="+mn-lt"/>
                    <a:ea typeface="+mn-ea"/>
                    <a:cs typeface="+mn-cs"/>
                  </a:defRPr>
                </a:pPr>
                <a:r>
                  <a:rPr lang="en-IN" sz="1000" b="1" i="0" u="none" strike="noStrike" kern="1200" baseline="0">
                    <a:solidFill>
                      <a:schemeClr val="tx1"/>
                    </a:solidFill>
                    <a:latin typeface="+mn-lt"/>
                    <a:ea typeface="+mn-ea"/>
                    <a:cs typeface="+mn-cs"/>
                  </a:rPr>
                  <a:t>Sales</a:t>
                </a:r>
              </a:p>
            </c:rich>
          </c:tx>
          <c:overlay val="0"/>
          <c:spPr>
            <a:noFill/>
            <a:ln>
              <a:noFill/>
            </a:ln>
            <a:effectLst/>
          </c:spPr>
          <c:txPr>
            <a:bodyPr rot="-5400000" spcFirstLastPara="1" vertOverflow="ellipsis" vert="horz" wrap="square" anchor="ctr" anchorCtr="1"/>
            <a:lstStyle/>
            <a:p>
              <a:pPr algn="ctr" rtl="0">
                <a:defRPr lang="en-IN" sz="1000" b="1"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9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[dashboard1.xlsm]Sheet2!PivotTable3</c:name>
    <c:fmtId val="4"/>
  </c:pivotSource>
  <c:chart>
    <c:title>
      <c:tx>
        <c:rich>
          <a:bodyPr rot="0" spcFirstLastPara="1" vertOverflow="ellipsis" vert="horz" wrap="square" anchor="ctr" anchorCtr="1"/>
          <a:lstStyle/>
          <a:p>
            <a:pPr algn="ctr" rtl="0">
              <a:defRPr lang="en-US" sz="1600" b="1" i="0" u="none" strike="noStrike" kern="1200" spc="0" baseline="0">
                <a:solidFill>
                  <a:schemeClr val="tx1"/>
                </a:solidFill>
                <a:latin typeface="+mn-lt"/>
                <a:ea typeface="+mn-ea"/>
                <a:cs typeface="+mn-cs"/>
              </a:defRPr>
            </a:pPr>
            <a:r>
              <a:rPr lang="en-US" sz="1600" b="1" i="0" u="none" strike="noStrike" kern="1200" spc="0" baseline="0">
                <a:solidFill>
                  <a:schemeClr val="tx1"/>
                </a:solidFill>
                <a:latin typeface="+mn-lt"/>
                <a:ea typeface="+mn-ea"/>
                <a:cs typeface="+mn-cs"/>
              </a:rPr>
              <a:t>Product Sales Chart</a:t>
            </a:r>
          </a:p>
        </c:rich>
      </c:tx>
      <c:layout>
        <c:manualLayout>
          <c:xMode val="edge"/>
          <c:yMode val="edge"/>
          <c:x val="0.23902659913304949"/>
          <c:y val="3.3255019337698644E-2"/>
        </c:manualLayout>
      </c:layout>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tx>
            <c:rich>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fld id="{48DEC5F9-B9CB-44EC-9A8A-D4C6674DDDC7}" type="PERCENTAGE">
                  <a:rPr lang="en-US" sz="1400" b="0" i="0" u="none" strike="noStrike" kern="1200" baseline="0">
                    <a:solidFill>
                      <a:schemeClr val="bg1"/>
                    </a:solidFill>
                    <a:latin typeface="+mn-lt"/>
                    <a:ea typeface="+mn-ea"/>
                    <a:cs typeface="+mn-cs"/>
                  </a:rPr>
                  <a:pPr algn="ctr">
                    <a:defRPr/>
                  </a:pPr>
                  <a:t>[PERCENTAGE]</a:t>
                </a:fld>
                <a:endParaRPr lang="en-IN"/>
              </a:p>
            </c:rich>
          </c:tx>
          <c:spPr>
            <a:noFill/>
            <a:ln>
              <a:noFill/>
            </a:ln>
            <a:effectLst/>
          </c:spPr>
          <c:txPr>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1"/>
          </a:solidFill>
          <a:ln w="19050">
            <a:solidFill>
              <a:schemeClr val="lt1"/>
            </a:solidFill>
          </a:ln>
          <a:effectLst/>
        </c:spPr>
        <c:dLbl>
          <c:idx val="0"/>
          <c:tx>
            <c:rich>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fld id="{C9648DE5-0231-4F98-8C81-C02EC1F3F2B4}" type="PERCENTAGE">
                  <a:rPr lang="en-US" sz="1400" b="0" i="0" u="none" strike="noStrike" kern="1200" baseline="0">
                    <a:solidFill>
                      <a:schemeClr val="bg1"/>
                    </a:solidFill>
                    <a:latin typeface="+mn-lt"/>
                    <a:ea typeface="+mn-ea"/>
                    <a:cs typeface="+mn-cs"/>
                  </a:rPr>
                  <a:pPr algn="ctr">
                    <a:defRPr/>
                  </a:pPr>
                  <a:t>[PERCENTAGE]</a:t>
                </a:fld>
                <a:endParaRPr lang="en-IN"/>
              </a:p>
            </c:rich>
          </c:tx>
          <c:spPr>
            <a:noFill/>
            <a:ln>
              <a:noFill/>
            </a:ln>
            <a:effectLst/>
          </c:spPr>
          <c:txPr>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w="19050">
            <a:solidFill>
              <a:schemeClr val="lt1"/>
            </a:solidFill>
          </a:ln>
          <a:effectLst/>
        </c:spPr>
        <c:dLbl>
          <c:idx val="0"/>
          <c:tx>
            <c:rich>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fld id="{C5F45203-93E9-462C-951B-F2B44DCC2C6F}" type="PERCENTAGE">
                  <a:rPr lang="en-US" sz="1400">
                    <a:solidFill>
                      <a:schemeClr val="bg1"/>
                    </a:solidFill>
                  </a:rPr>
                  <a:pPr algn="ctr">
                    <a:defRPr/>
                  </a:pPr>
                  <a:t>[PERCENTAGE]</a:t>
                </a:fld>
                <a:endParaRPr lang="en-IN"/>
              </a:p>
            </c:rich>
          </c:tx>
          <c:spPr>
            <a:noFill/>
            <a:ln>
              <a:noFill/>
            </a:ln>
            <a:effectLst/>
          </c:spPr>
          <c:txPr>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Sheet2!$R$2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00E-42E2-A982-9D6687A2AA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00E-42E2-A982-9D6687A2AAF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00E-42E2-A982-9D6687A2AAF5}"/>
              </c:ext>
            </c:extLst>
          </c:dPt>
          <c:dLbls>
            <c:dLbl>
              <c:idx val="0"/>
              <c:tx>
                <c:rich>
                  <a:bodyPr/>
                  <a:lstStyle/>
                  <a:p>
                    <a:fld id="{48DEC5F9-B9CB-44EC-9A8A-D4C6674DDDC7}" type="PERCENTAGE">
                      <a:rPr lang="en-US" sz="1400" b="0" i="0" u="none" strike="noStrike" kern="1200" baseline="0">
                        <a:solidFill>
                          <a:schemeClr val="bg1"/>
                        </a:solidFill>
                        <a:latin typeface="+mn-lt"/>
                        <a:ea typeface="+mn-ea"/>
                        <a:cs typeface="+mn-cs"/>
                      </a:rPr>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00E-42E2-A982-9D6687A2AAF5}"/>
                </c:ext>
              </c:extLst>
            </c:dLbl>
            <c:dLbl>
              <c:idx val="1"/>
              <c:tx>
                <c:rich>
                  <a:bodyPr/>
                  <a:lstStyle/>
                  <a:p>
                    <a:fld id="{C9648DE5-0231-4F98-8C81-C02EC1F3F2B4}" type="PERCENTAGE">
                      <a:rPr lang="en-US" sz="1400" b="0" i="0" u="none" strike="noStrike" kern="1200" baseline="0">
                        <a:solidFill>
                          <a:schemeClr val="bg1"/>
                        </a:solidFill>
                        <a:latin typeface="+mn-lt"/>
                        <a:ea typeface="+mn-ea"/>
                        <a:cs typeface="+mn-cs"/>
                      </a:rPr>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00E-42E2-A982-9D6687A2AAF5}"/>
                </c:ext>
              </c:extLst>
            </c:dLbl>
            <c:dLbl>
              <c:idx val="2"/>
              <c:tx>
                <c:rich>
                  <a:bodyPr/>
                  <a:lstStyle/>
                  <a:p>
                    <a:fld id="{C5F45203-93E9-462C-951B-F2B44DCC2C6F}" type="PERCENTAGE">
                      <a:rPr lang="en-US" sz="1400">
                        <a:solidFill>
                          <a:schemeClr val="bg1"/>
                        </a:solidFill>
                      </a:rPr>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100E-42E2-A982-9D6687A2AAF5}"/>
                </c:ext>
              </c:extLst>
            </c:dLbl>
            <c:spPr>
              <a:noFill/>
              <a:ln>
                <a:noFill/>
              </a:ln>
              <a:effectLst/>
            </c:spPr>
            <c:txPr>
              <a:bodyPr rot="0" spcFirstLastPara="1" vertOverflow="ellipsis" vert="horz" wrap="square" anchor="ctr" anchorCtr="1"/>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Sheet2!$Q$3:$Q$6</c:f>
              <c:strCache>
                <c:ptCount val="3"/>
                <c:pt idx="0">
                  <c:v>Furniture</c:v>
                </c:pt>
                <c:pt idx="1">
                  <c:v>Office Supplies</c:v>
                </c:pt>
                <c:pt idx="2">
                  <c:v>Technology</c:v>
                </c:pt>
              </c:strCache>
            </c:strRef>
          </c:cat>
          <c:val>
            <c:numRef>
              <c:f>Sheet2!$R$3:$R$6</c:f>
              <c:numCache>
                <c:formatCode>0</c:formatCode>
                <c:ptCount val="3"/>
                <c:pt idx="0">
                  <c:v>95566.405263157911</c:v>
                </c:pt>
                <c:pt idx="1">
                  <c:v>85734.849052631558</c:v>
                </c:pt>
                <c:pt idx="2">
                  <c:v>101386.55621052631</c:v>
                </c:pt>
              </c:numCache>
            </c:numRef>
          </c:val>
          <c:extLst>
            <c:ext xmlns:c16="http://schemas.microsoft.com/office/drawing/2014/chart" uri="{C3380CC4-5D6E-409C-BE32-E72D297353CC}">
              <c16:uniqueId val="{00000006-100E-42E2-A982-9D6687A2AAF5}"/>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7620</xdr:rowOff>
    </xdr:from>
    <xdr:to>
      <xdr:col>6</xdr:col>
      <xdr:colOff>472440</xdr:colOff>
      <xdr:row>24</xdr:row>
      <xdr:rowOff>7620</xdr:rowOff>
    </xdr:to>
    <xdr:graphicFrame macro="">
      <xdr:nvGraphicFramePr>
        <xdr:cNvPr id="2" name="Chart 1">
          <a:extLst>
            <a:ext uri="{FF2B5EF4-FFF2-40B4-BE49-F238E27FC236}">
              <a16:creationId xmlns:a16="http://schemas.microsoft.com/office/drawing/2014/main" id="{812CFF7F-2E9E-D392-D15A-23B826704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556260</xdr:colOff>
      <xdr:row>16</xdr:row>
      <xdr:rowOff>83820</xdr:rowOff>
    </xdr:from>
    <xdr:to>
      <xdr:col>14</xdr:col>
      <xdr:colOff>419100</xdr:colOff>
      <xdr:row>31</xdr:row>
      <xdr:rowOff>83820</xdr:rowOff>
    </xdr:to>
    <xdr:graphicFrame macro="">
      <xdr:nvGraphicFramePr>
        <xdr:cNvPr id="3" name="Chart 2">
          <a:extLst>
            <a:ext uri="{FF2B5EF4-FFF2-40B4-BE49-F238E27FC236}">
              <a16:creationId xmlns:a16="http://schemas.microsoft.com/office/drawing/2014/main" id="{A97314F3-EC7B-B5ED-48E3-A7758B016A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586740</xdr:colOff>
      <xdr:row>9</xdr:row>
      <xdr:rowOff>156210</xdr:rowOff>
    </xdr:from>
    <xdr:to>
      <xdr:col>22</xdr:col>
      <xdr:colOff>411480</xdr:colOff>
      <xdr:row>24</xdr:row>
      <xdr:rowOff>156210</xdr:rowOff>
    </xdr:to>
    <xdr:graphicFrame macro="">
      <xdr:nvGraphicFramePr>
        <xdr:cNvPr id="4" name="Chart 3">
          <a:extLst>
            <a:ext uri="{FF2B5EF4-FFF2-40B4-BE49-F238E27FC236}">
              <a16:creationId xmlns:a16="http://schemas.microsoft.com/office/drawing/2014/main" id="{AA55E584-6532-6712-AE9F-8154629C4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598715</xdr:colOff>
      <xdr:row>9</xdr:row>
      <xdr:rowOff>174171</xdr:rowOff>
    </xdr:from>
    <xdr:to>
      <xdr:col>12</xdr:col>
      <xdr:colOff>598715</xdr:colOff>
      <xdr:row>34</xdr:row>
      <xdr:rowOff>152400</xdr:rowOff>
    </xdr:to>
    <xdr:graphicFrame macro="">
      <xdr:nvGraphicFramePr>
        <xdr:cNvPr id="2" name="Chart 1">
          <a:extLst>
            <a:ext uri="{FF2B5EF4-FFF2-40B4-BE49-F238E27FC236}">
              <a16:creationId xmlns:a16="http://schemas.microsoft.com/office/drawing/2014/main" id="{8CF8EF82-EDF7-424E-851E-9D7F7F051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359229</xdr:colOff>
      <xdr:row>10</xdr:row>
      <xdr:rowOff>0</xdr:rowOff>
    </xdr:from>
    <xdr:to>
      <xdr:col>25</xdr:col>
      <xdr:colOff>10886</xdr:colOff>
      <xdr:row>35</xdr:row>
      <xdr:rowOff>21772</xdr:rowOff>
    </xdr:to>
    <xdr:graphicFrame macro="">
      <xdr:nvGraphicFramePr>
        <xdr:cNvPr id="3" name="Chart 2">
          <a:extLst>
            <a:ext uri="{FF2B5EF4-FFF2-40B4-BE49-F238E27FC236}">
              <a16:creationId xmlns:a16="http://schemas.microsoft.com/office/drawing/2014/main" id="{221889CD-48D3-4E0C-9995-72680029F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293916</xdr:colOff>
      <xdr:row>9</xdr:row>
      <xdr:rowOff>141513</xdr:rowOff>
    </xdr:from>
    <xdr:to>
      <xdr:col>32</xdr:col>
      <xdr:colOff>337458</xdr:colOff>
      <xdr:row>34</xdr:row>
      <xdr:rowOff>152399</xdr:rowOff>
    </xdr:to>
    <xdr:graphicFrame macro="">
      <xdr:nvGraphicFramePr>
        <xdr:cNvPr id="4" name="Chart 3">
          <a:extLst>
            <a:ext uri="{FF2B5EF4-FFF2-40B4-BE49-F238E27FC236}">
              <a16:creationId xmlns:a16="http://schemas.microsoft.com/office/drawing/2014/main" id="{3C799070-27AB-4B18-B56E-BF09E430EF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22859</xdr:colOff>
      <xdr:row>0</xdr:row>
      <xdr:rowOff>80554</xdr:rowOff>
    </xdr:from>
    <xdr:to>
      <xdr:col>3</xdr:col>
      <xdr:colOff>32656</xdr:colOff>
      <xdr:row>8</xdr:row>
      <xdr:rowOff>168727</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66A9A81-FB10-3D1D-C04D-06E294465AB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2859" y="80554"/>
              <a:ext cx="1838597" cy="16121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xdr:colOff>
      <xdr:row>10</xdr:row>
      <xdr:rowOff>30479</xdr:rowOff>
    </xdr:from>
    <xdr:to>
      <xdr:col>3</xdr:col>
      <xdr:colOff>38100</xdr:colOff>
      <xdr:row>29</xdr:row>
      <xdr:rowOff>185056</xdr:rowOff>
    </xdr:to>
    <mc:AlternateContent xmlns:mc="http://schemas.openxmlformats.org/markup-compatibility/2006" xmlns:a14="http://schemas.microsoft.com/office/drawing/2010/main">
      <mc:Choice Requires="a14">
        <xdr:graphicFrame macro="">
          <xdr:nvGraphicFramePr>
            <xdr:cNvPr id="6" name="Months (Order Date)">
              <a:extLst>
                <a:ext uri="{FF2B5EF4-FFF2-40B4-BE49-F238E27FC236}">
                  <a16:creationId xmlns:a16="http://schemas.microsoft.com/office/drawing/2014/main" id="{D01E6BEB-03F7-7DD4-CFE0-600DF085D024}"/>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38100" y="1924593"/>
              <a:ext cx="1828800" cy="36706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19685</xdr:colOff>
      <xdr:row>31</xdr:row>
      <xdr:rowOff>43543</xdr:rowOff>
    </xdr:from>
    <xdr:to>
      <xdr:col>3</xdr:col>
      <xdr:colOff>19685</xdr:colOff>
      <xdr:row>37</xdr:row>
      <xdr:rowOff>174172</xdr:rowOff>
    </xdr:to>
    <mc:AlternateContent xmlns:mc="http://schemas.openxmlformats.org/markup-compatibility/2006" xmlns:a14="http://schemas.microsoft.com/office/drawing/2010/main">
      <mc:Choice Requires="a14">
        <xdr:graphicFrame macro="">
          <xdr:nvGraphicFramePr>
            <xdr:cNvPr id="7" name="Category">
              <a:extLst>
                <a:ext uri="{FF2B5EF4-FFF2-40B4-BE49-F238E27FC236}">
                  <a16:creationId xmlns:a16="http://schemas.microsoft.com/office/drawing/2014/main" id="{B1041C4E-1CE0-97B1-C4A8-8034FE712F1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685" y="5823857"/>
              <a:ext cx="1828800" cy="12409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rsh Kore" refreshedDate="45707.889162847219" createdVersion="8" refreshedVersion="8" minRefreshableVersion="3" recordCount="200" xr:uid="{62AFFD0C-144A-4572-AD21-71B4E5E7F1C7}">
  <cacheSource type="worksheet">
    <worksheetSource ref="A1:I201" sheet="superstore_sales_with_issues"/>
  </cacheSource>
  <cacheFields count="12">
    <cacheField name="Order ID" numFmtId="0">
      <sharedItems containsSemiMixedTypes="0" containsString="0" containsNumber="1" containsInteger="1" minValue="10303" maxValue="99505"/>
    </cacheField>
    <cacheField name="Order Date" numFmtId="14">
      <sharedItems containsSemiMixedTypes="0" containsNonDate="0" containsDate="1" containsString="0" minDate="2023-02-18T00:00:00" maxDate="2025-02-15T00:00:00" count="172">
        <d v="2024-08-01T00:00:00"/>
        <d v="2024-08-24T00:00:00"/>
        <d v="2023-04-24T00:00:00"/>
        <d v="2024-07-25T00:00:00"/>
        <d v="2024-03-23T00:00:00"/>
        <d v="2024-11-27T00:00:00"/>
        <d v="2024-04-05T00:00:00"/>
        <d v="2023-10-13T00:00:00"/>
        <d v="2023-07-04T00:00:00"/>
        <d v="2025-01-20T00:00:00"/>
        <d v="2023-12-16T00:00:00"/>
        <d v="2024-01-08T00:00:00"/>
        <d v="2024-03-11T00:00:00"/>
        <d v="2024-07-28T00:00:00"/>
        <d v="2023-06-27T00:00:00"/>
        <d v="2024-01-21T00:00:00"/>
        <d v="2023-11-08T00:00:00"/>
        <d v="2023-07-07T00:00:00"/>
        <d v="2023-11-06T00:00:00"/>
        <d v="2023-10-26T00:00:00"/>
        <d v="2024-03-28T00:00:00"/>
        <d v="2023-08-08T00:00:00"/>
        <d v="2024-04-24T00:00:00"/>
        <d v="2023-12-01T00:00:00"/>
        <d v="2024-10-09T00:00:00"/>
        <d v="2024-09-13T00:00:00"/>
        <d v="2023-07-21T00:00:00"/>
        <d v="2023-09-25T00:00:00"/>
        <d v="2024-06-09T00:00:00"/>
        <d v="2023-08-22T00:00:00"/>
        <d v="2023-02-18T00:00:00"/>
        <d v="2024-04-15T00:00:00"/>
        <d v="2023-05-21T00:00:00"/>
        <d v="2024-07-18T00:00:00"/>
        <d v="2024-10-04T00:00:00"/>
        <d v="2024-11-16T00:00:00"/>
        <d v="2024-10-07T00:00:00"/>
        <d v="2023-12-15T00:00:00"/>
        <d v="2024-05-02T00:00:00"/>
        <d v="2024-08-30T00:00:00"/>
        <d v="2025-01-30T00:00:00"/>
        <d v="2024-08-23T00:00:00"/>
        <d v="2023-12-25T00:00:00"/>
        <d v="2023-05-23T00:00:00"/>
        <d v="2023-08-12T00:00:00"/>
        <d v="2023-05-30T00:00:00"/>
        <d v="2023-04-20T00:00:00"/>
        <d v="2024-01-07T00:00:00"/>
        <d v="2023-10-28T00:00:00"/>
        <d v="2024-09-01T00:00:00"/>
        <d v="2024-12-11T00:00:00"/>
        <d v="2024-02-14T00:00:00"/>
        <d v="2023-10-14T00:00:00"/>
        <d v="2024-07-02T00:00:00"/>
        <d v="2023-03-01T00:00:00"/>
        <d v="2025-02-09T00:00:00"/>
        <d v="2023-05-16T00:00:00"/>
        <d v="2023-03-07T00:00:00"/>
        <d v="2024-03-20T00:00:00"/>
        <d v="2024-04-27T00:00:00"/>
        <d v="2023-10-16T00:00:00"/>
        <d v="2024-03-27T00:00:00"/>
        <d v="2023-06-29T00:00:00"/>
        <d v="2023-08-25T00:00:00"/>
        <d v="2024-10-27T00:00:00"/>
        <d v="2023-12-29T00:00:00"/>
        <d v="2024-06-07T00:00:00"/>
        <d v="2025-02-10T00:00:00"/>
        <d v="2023-06-05T00:00:00"/>
        <d v="2023-07-29T00:00:00"/>
        <d v="2024-08-07T00:00:00"/>
        <d v="2023-06-08T00:00:00"/>
        <d v="2023-12-27T00:00:00"/>
        <d v="2023-03-24T00:00:00"/>
        <d v="2023-05-17T00:00:00"/>
        <d v="2023-07-22T00:00:00"/>
        <d v="2024-05-05T00:00:00"/>
        <d v="2024-01-30T00:00:00"/>
        <d v="2023-03-30T00:00:00"/>
        <d v="2024-02-28T00:00:00"/>
        <d v="2023-04-19T00:00:00"/>
        <d v="2024-07-11T00:00:00"/>
        <d v="2024-08-29T00:00:00"/>
        <d v="2024-03-07T00:00:00"/>
        <d v="2024-09-24T00:00:00"/>
        <d v="2025-02-04T00:00:00"/>
        <d v="2024-12-06T00:00:00"/>
        <d v="2024-09-09T00:00:00"/>
        <d v="2023-12-31T00:00:00"/>
        <d v="2023-10-18T00:00:00"/>
        <d v="2023-11-23T00:00:00"/>
        <d v="2023-06-15T00:00:00"/>
        <d v="2023-05-13T00:00:00"/>
        <d v="2023-12-17T00:00:00"/>
        <d v="2023-05-19T00:00:00"/>
        <d v="2024-09-15T00:00:00"/>
        <d v="2023-10-23T00:00:00"/>
        <d v="2024-01-20T00:00:00"/>
        <d v="2023-08-05T00:00:00"/>
        <d v="2024-05-16T00:00:00"/>
        <d v="2023-12-19T00:00:00"/>
        <d v="2024-08-19T00:00:00"/>
        <d v="2024-02-27T00:00:00"/>
        <d v="2024-01-10T00:00:00"/>
        <d v="2023-06-26T00:00:00"/>
        <d v="2023-05-11T00:00:00"/>
        <d v="2024-10-21T00:00:00"/>
        <d v="2023-09-24T00:00:00"/>
        <d v="2024-03-06T00:00:00"/>
        <d v="2025-01-06T00:00:00"/>
        <d v="2023-09-06T00:00:00"/>
        <d v="2024-12-21T00:00:00"/>
        <d v="2024-04-02T00:00:00"/>
        <d v="2024-05-26T00:00:00"/>
        <d v="2024-01-18T00:00:00"/>
        <d v="2023-05-18T00:00:00"/>
        <d v="2023-05-29T00:00:00"/>
        <d v="2024-11-22T00:00:00"/>
        <d v="2023-11-11T00:00:00"/>
        <d v="2025-02-14T00:00:00"/>
        <d v="2024-06-13T00:00:00"/>
        <d v="2024-07-06T00:00:00"/>
        <d v="2023-09-11T00:00:00"/>
        <d v="2024-05-03T00:00:00"/>
        <d v="2023-11-13T00:00:00"/>
        <d v="2024-03-08T00:00:00"/>
        <d v="2023-09-20T00:00:00"/>
        <d v="2024-11-15T00:00:00"/>
        <d v="2023-11-01T00:00:00"/>
        <d v="2025-01-10T00:00:00"/>
        <d v="2023-10-02T00:00:00"/>
        <d v="2024-08-15T00:00:00"/>
        <d v="2023-10-19T00:00:00"/>
        <d v="2024-03-16T00:00:00"/>
        <d v="2024-04-12T00:00:00"/>
        <d v="2024-08-10T00:00:00"/>
        <d v="2024-06-14T00:00:00"/>
        <d v="2024-02-20T00:00:00"/>
        <d v="2024-05-22T00:00:00"/>
        <d v="2024-01-16T00:00:00"/>
        <d v="2024-05-31T00:00:00"/>
        <d v="2024-02-04T00:00:00"/>
        <d v="2023-03-03T00:00:00"/>
        <d v="2025-02-13T00:00:00"/>
        <d v="2023-10-05T00:00:00"/>
        <d v="2023-06-06T00:00:00"/>
        <d v="2023-07-10T00:00:00"/>
        <d v="2024-09-16T00:00:00"/>
        <d v="2024-02-26T00:00:00"/>
        <d v="2023-05-15T00:00:00"/>
        <d v="2023-05-02T00:00:00"/>
        <d v="2023-10-01T00:00:00"/>
        <d v="2025-01-07T00:00:00"/>
        <d v="2024-07-12T00:00:00"/>
        <d v="2024-04-30T00:00:00"/>
        <d v="2023-04-02T00:00:00"/>
        <d v="2023-07-12T00:00:00"/>
        <d v="2024-10-13T00:00:00"/>
        <d v="2023-05-26T00:00:00"/>
        <d v="2023-12-05T00:00:00"/>
        <d v="2024-06-11T00:00:00"/>
        <d v="2023-11-05T00:00:00"/>
        <d v="2024-04-26T00:00:00"/>
        <d v="2024-10-19T00:00:00"/>
        <d v="2024-09-27T00:00:00"/>
        <d v="2023-08-14T00:00:00"/>
        <d v="2023-04-26T00:00:00"/>
        <d v="2023-12-02T00:00:00"/>
        <d v="2023-06-07T00:00:00"/>
        <d v="2025-01-26T00:00:00"/>
        <d v="2025-01-27T00:00:00"/>
        <d v="2023-05-01T00:00:00"/>
      </sharedItems>
      <fieldGroup par="11"/>
    </cacheField>
    <cacheField name="Region" numFmtId="0">
      <sharedItems count="4">
        <s v="East"/>
        <s v="South"/>
        <s v="West"/>
        <s v="North"/>
      </sharedItems>
    </cacheField>
    <cacheField name="Product" numFmtId="0">
      <sharedItems/>
    </cacheField>
    <cacheField name="Category" numFmtId="0">
      <sharedItems count="3">
        <s v="Furniture"/>
        <s v="Office Supplies"/>
        <s v="Technology"/>
      </sharedItems>
    </cacheField>
    <cacheField name="Sales" numFmtId="1">
      <sharedItems containsSemiMixedTypes="0" containsString="0" containsNumber="1" minValue="12.19" maxValue="4975.9399999999996"/>
    </cacheField>
    <cacheField name="Profit" numFmtId="1">
      <sharedItems containsSemiMixedTypes="0" containsString="0" containsNumber="1" minValue="1.03" maxValue="1418.48"/>
    </cacheField>
    <cacheField name="Quantity" numFmtId="1">
      <sharedItems containsSemiMixedTypes="0" containsString="0" containsNumber="1" minValue="1" maxValue="10"/>
    </cacheField>
    <cacheField name="Customer Segment" numFmtId="0">
      <sharedItems/>
    </cacheField>
    <cacheField name="Months (Order Date)" numFmtId="0" databaseField="0">
      <fieldGroup base="1">
        <rangePr groupBy="months" startDate="2023-02-18T00:00:00" endDate="2025-02-15T00:00:00"/>
        <groupItems count="14">
          <s v="&lt;2/18/2023"/>
          <s v="Jan"/>
          <s v="Feb"/>
          <s v="Mar"/>
          <s v="Apr"/>
          <s v="May"/>
          <s v="Jun"/>
          <s v="Jul"/>
          <s v="Aug"/>
          <s v="Sep"/>
          <s v="Oct"/>
          <s v="Nov"/>
          <s v="Dec"/>
          <s v="&gt;2/15/2025"/>
        </groupItems>
      </fieldGroup>
    </cacheField>
    <cacheField name="Quarters (Order Date)" numFmtId="0" databaseField="0">
      <fieldGroup base="1">
        <rangePr groupBy="quarters" startDate="2023-02-18T00:00:00" endDate="2025-02-15T00:00:00"/>
        <groupItems count="6">
          <s v="&lt;2/18/2023"/>
          <s v="Qtr1"/>
          <s v="Qtr2"/>
          <s v="Qtr3"/>
          <s v="Qtr4"/>
          <s v="&gt;2/15/2025"/>
        </groupItems>
      </fieldGroup>
    </cacheField>
    <cacheField name="Years (Order Date)" numFmtId="0" databaseField="0">
      <fieldGroup base="1">
        <rangePr groupBy="years" startDate="2023-02-18T00:00:00" endDate="2025-02-15T00:00:00"/>
        <groupItems count="5">
          <s v="&lt;2/18/2023"/>
          <s v="2023"/>
          <s v="2024"/>
          <s v="2025"/>
          <s v="&gt;2/15/2025"/>
        </groupItems>
      </fieldGroup>
    </cacheField>
  </cacheFields>
  <extLst>
    <ext xmlns:x14="http://schemas.microsoft.com/office/spreadsheetml/2009/9/main" uri="{725AE2AE-9491-48be-B2B4-4EB974FC3084}">
      <x14:pivotCacheDefinition pivotCacheId="15090803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n v="18765"/>
    <x v="0"/>
    <x v="0"/>
    <s v="Bookshelf"/>
    <x v="0"/>
    <n v="44.16"/>
    <n v="11.24"/>
    <n v="5"/>
    <s v="Corporate"/>
  </r>
  <r>
    <n v="45709"/>
    <x v="1"/>
    <x v="0"/>
    <s v="Table"/>
    <x v="0"/>
    <n v="4975.9399999999996"/>
    <n v="1418.48"/>
    <n v="10"/>
    <s v="Corporate"/>
  </r>
  <r>
    <n v="35289"/>
    <x v="2"/>
    <x v="1"/>
    <s v="Table"/>
    <x v="0"/>
    <n v="2481.56"/>
    <n v="620.08000000000004"/>
    <n v="7"/>
    <s v="Corporate"/>
  </r>
  <r>
    <n v="59363"/>
    <x v="3"/>
    <x v="1"/>
    <s v="Pen"/>
    <x v="1"/>
    <n v="51.39"/>
    <n v="5.88"/>
    <n v="1"/>
    <s v="Home Office"/>
  </r>
  <r>
    <n v="26352"/>
    <x v="4"/>
    <x v="2"/>
    <s v="Laptop"/>
    <x v="2"/>
    <n v="865.7"/>
    <n v="230.16"/>
    <n v="5"/>
    <s v="Consumer"/>
  </r>
  <r>
    <n v="94234"/>
    <x v="5"/>
    <x v="2"/>
    <s v="Chair"/>
    <x v="0"/>
    <n v="1090.04"/>
    <n v="125.14"/>
    <n v="10"/>
    <s v="Home Office"/>
  </r>
  <r>
    <n v="40032"/>
    <x v="6"/>
    <x v="2"/>
    <s v="Bookshelf"/>
    <x v="0"/>
    <n v="253.04"/>
    <n v="19.010000000000002"/>
    <n v="5.5368421052631582"/>
    <s v="Consumer"/>
  </r>
  <r>
    <n v="25658"/>
    <x v="7"/>
    <x v="3"/>
    <s v="Table"/>
    <x v="0"/>
    <n v="4103.51"/>
    <n v="995.13"/>
    <n v="10"/>
    <s v="Home Office"/>
  </r>
  <r>
    <n v="49004"/>
    <x v="8"/>
    <x v="1"/>
    <s v="Notebook"/>
    <x v="1"/>
    <n v="98.05"/>
    <n v="20.37"/>
    <n v="2"/>
    <s v="Home Office"/>
  </r>
  <r>
    <n v="94614"/>
    <x v="9"/>
    <x v="2"/>
    <s v="Smartphone"/>
    <x v="2"/>
    <n v="1413.4390526315788"/>
    <n v="340.8"/>
    <n v="3"/>
    <s v="Consumer"/>
  </r>
  <r>
    <n v="91734"/>
    <x v="10"/>
    <x v="3"/>
    <s v="Smartphone"/>
    <x v="2"/>
    <n v="452.16"/>
    <n v="98.55"/>
    <n v="1"/>
    <s v="Corporate"/>
  </r>
  <r>
    <n v="78529"/>
    <x v="11"/>
    <x v="3"/>
    <s v="Bookshelf"/>
    <x v="0"/>
    <n v="270.76"/>
    <n v="13.87"/>
    <n v="7"/>
    <s v="Small Business"/>
  </r>
  <r>
    <n v="93219"/>
    <x v="12"/>
    <x v="1"/>
    <s v="Pen"/>
    <x v="1"/>
    <n v="476.17"/>
    <n v="108.29"/>
    <n v="1"/>
    <s v="Corporate"/>
  </r>
  <r>
    <n v="19073"/>
    <x v="13"/>
    <x v="0"/>
    <s v="Printer"/>
    <x v="2"/>
    <n v="1413.4390526315788"/>
    <n v="78.319999999999993"/>
    <n v="6"/>
    <s v="Corporate"/>
  </r>
  <r>
    <n v="31654"/>
    <x v="14"/>
    <x v="2"/>
    <s v="Table"/>
    <x v="0"/>
    <n v="871.12"/>
    <n v="128.52000000000001"/>
    <n v="2"/>
    <s v="Corporate"/>
  </r>
  <r>
    <n v="28860"/>
    <x v="15"/>
    <x v="0"/>
    <s v="Smartphone"/>
    <x v="2"/>
    <n v="3986.07"/>
    <n v="510.91"/>
    <n v="8"/>
    <s v="Home Office"/>
  </r>
  <r>
    <n v="30927"/>
    <x v="16"/>
    <x v="3"/>
    <s v="Smartphone"/>
    <x v="2"/>
    <n v="506.27"/>
    <n v="139.1"/>
    <n v="2"/>
    <s v="Corporate"/>
  </r>
  <r>
    <n v="52475"/>
    <x v="17"/>
    <x v="2"/>
    <s v="Smartphone"/>
    <x v="2"/>
    <n v="3702.45"/>
    <n v="231.87431578947385"/>
    <n v="9"/>
    <s v="Small Business"/>
  </r>
  <r>
    <n v="73099"/>
    <x v="18"/>
    <x v="3"/>
    <s v="Bookshelf"/>
    <x v="0"/>
    <n v="774.77"/>
    <n v="43.64"/>
    <n v="4"/>
    <s v="Consumer"/>
  </r>
  <r>
    <n v="38002"/>
    <x v="19"/>
    <x v="3"/>
    <s v="Chair"/>
    <x v="0"/>
    <n v="1413.4390526315788"/>
    <n v="816.34"/>
    <n v="8"/>
    <s v="Home Office"/>
  </r>
  <r>
    <n v="14897"/>
    <x v="20"/>
    <x v="2"/>
    <s v="Chair"/>
    <x v="0"/>
    <n v="787.7"/>
    <n v="231.87431578947385"/>
    <n v="10"/>
    <s v="Home Office"/>
  </r>
  <r>
    <n v="87583"/>
    <x v="21"/>
    <x v="2"/>
    <s v="Table"/>
    <x v="0"/>
    <n v="1413.4390526315788"/>
    <n v="226.55"/>
    <n v="5"/>
    <s v="Corporate"/>
  </r>
  <r>
    <n v="75990"/>
    <x v="22"/>
    <x v="0"/>
    <s v="Smartphone"/>
    <x v="2"/>
    <n v="707.05"/>
    <n v="104.27"/>
    <n v="8"/>
    <s v="Consumer"/>
  </r>
  <r>
    <n v="31333"/>
    <x v="23"/>
    <x v="0"/>
    <s v="Laptop"/>
    <x v="2"/>
    <n v="1413.4390526315788"/>
    <n v="32.340000000000003"/>
    <n v="2"/>
    <s v="Home Office"/>
  </r>
  <r>
    <n v="57851"/>
    <x v="24"/>
    <x v="0"/>
    <s v="Bookshelf"/>
    <x v="0"/>
    <n v="3893.94"/>
    <n v="678.96"/>
    <n v="8"/>
    <s v="Consumer"/>
  </r>
  <r>
    <n v="26501"/>
    <x v="25"/>
    <x v="1"/>
    <s v="Smartphone"/>
    <x v="2"/>
    <n v="2686.79"/>
    <n v="159.71"/>
    <n v="7"/>
    <s v="Home Office"/>
  </r>
  <r>
    <n v="45649"/>
    <x v="26"/>
    <x v="3"/>
    <s v="Pen"/>
    <x v="1"/>
    <n v="906.95"/>
    <n v="202.63"/>
    <n v="2"/>
    <s v="Small Business"/>
  </r>
  <r>
    <n v="36863"/>
    <x v="27"/>
    <x v="2"/>
    <s v="Notebook"/>
    <x v="1"/>
    <n v="803.19"/>
    <n v="231.87431578947385"/>
    <n v="5"/>
    <s v="Corporate"/>
  </r>
  <r>
    <n v="81383"/>
    <x v="28"/>
    <x v="3"/>
    <s v="Printer"/>
    <x v="2"/>
    <n v="1413.4390526315788"/>
    <n v="200.21"/>
    <n v="4"/>
    <s v="Home Office"/>
  </r>
  <r>
    <n v="43571"/>
    <x v="29"/>
    <x v="0"/>
    <s v="Pen"/>
    <x v="1"/>
    <n v="3219.23"/>
    <n v="546.88"/>
    <n v="9"/>
    <s v="Small Business"/>
  </r>
  <r>
    <n v="81205"/>
    <x v="30"/>
    <x v="3"/>
    <s v="Laptop"/>
    <x v="2"/>
    <n v="2566.31"/>
    <n v="573.11"/>
    <n v="7"/>
    <s v="Consumer"/>
  </r>
  <r>
    <n v="45532"/>
    <x v="31"/>
    <x v="1"/>
    <s v="Stapler"/>
    <x v="1"/>
    <n v="336.27"/>
    <n v="89.87"/>
    <n v="4"/>
    <s v="Home Office"/>
  </r>
  <r>
    <n v="13880"/>
    <x v="32"/>
    <x v="1"/>
    <s v="Notebook"/>
    <x v="1"/>
    <n v="283.87"/>
    <n v="33.67"/>
    <n v="1"/>
    <s v="Small Business"/>
  </r>
  <r>
    <n v="92510"/>
    <x v="33"/>
    <x v="3"/>
    <s v="Pen"/>
    <x v="1"/>
    <n v="185.07"/>
    <n v="51.36"/>
    <n v="6"/>
    <s v="Corporate"/>
  </r>
  <r>
    <n v="11867"/>
    <x v="34"/>
    <x v="2"/>
    <s v="Stapler"/>
    <x v="1"/>
    <n v="462.35"/>
    <n v="37.659999999999997"/>
    <n v="5.5368421052631582"/>
    <s v="Corporate"/>
  </r>
  <r>
    <n v="24684"/>
    <x v="35"/>
    <x v="2"/>
    <s v="Printer"/>
    <x v="2"/>
    <n v="3658.9"/>
    <n v="470.86"/>
    <n v="10"/>
    <s v="Home Office"/>
  </r>
  <r>
    <n v="41972"/>
    <x v="18"/>
    <x v="3"/>
    <s v="Laptop"/>
    <x v="2"/>
    <n v="1596"/>
    <n v="418.99"/>
    <n v="5"/>
    <s v="Home Office"/>
  </r>
  <r>
    <n v="20875"/>
    <x v="36"/>
    <x v="0"/>
    <s v="Stapler"/>
    <x v="1"/>
    <n v="1185.3"/>
    <n v="263.04000000000002"/>
    <n v="3"/>
    <s v="Small Business"/>
  </r>
  <r>
    <n v="39617"/>
    <x v="24"/>
    <x v="1"/>
    <s v="Stapler"/>
    <x v="1"/>
    <n v="771.97"/>
    <n v="76.19"/>
    <n v="6"/>
    <s v="Consumer"/>
  </r>
  <r>
    <n v="15051"/>
    <x v="37"/>
    <x v="1"/>
    <s v="Pen"/>
    <x v="1"/>
    <n v="2085.81"/>
    <n v="148.79"/>
    <n v="9"/>
    <s v="Home Office"/>
  </r>
  <r>
    <n v="24542"/>
    <x v="38"/>
    <x v="0"/>
    <s v="Notebook"/>
    <x v="1"/>
    <n v="212.76"/>
    <n v="231.87431578947385"/>
    <n v="5.5368421052631582"/>
    <s v="Corporate"/>
  </r>
  <r>
    <n v="87263"/>
    <x v="39"/>
    <x v="3"/>
    <s v="Laptop"/>
    <x v="2"/>
    <n v="371.92"/>
    <n v="65.72"/>
    <n v="1"/>
    <s v="Corporate"/>
  </r>
  <r>
    <n v="38443"/>
    <x v="40"/>
    <x v="0"/>
    <s v="Laptop"/>
    <x v="2"/>
    <n v="1862.96"/>
    <n v="447.64"/>
    <n v="4"/>
    <s v="Consumer"/>
  </r>
  <r>
    <n v="13061"/>
    <x v="41"/>
    <x v="2"/>
    <s v="Chair"/>
    <x v="0"/>
    <n v="1912.32"/>
    <n v="236.03"/>
    <n v="8"/>
    <s v="Small Business"/>
  </r>
  <r>
    <n v="77651"/>
    <x v="42"/>
    <x v="3"/>
    <s v="Laptop"/>
    <x v="2"/>
    <n v="1917.54"/>
    <n v="183.78"/>
    <n v="5"/>
    <s v="Corporate"/>
  </r>
  <r>
    <n v="86052"/>
    <x v="43"/>
    <x v="3"/>
    <s v="Pen"/>
    <x v="1"/>
    <n v="1977.59"/>
    <n v="422.1"/>
    <n v="5"/>
    <s v="Corporate"/>
  </r>
  <r>
    <n v="58945"/>
    <x v="44"/>
    <x v="3"/>
    <s v="Pen"/>
    <x v="1"/>
    <n v="230.92"/>
    <n v="51.02"/>
    <n v="1"/>
    <s v="Small Business"/>
  </r>
  <r>
    <n v="80914"/>
    <x v="45"/>
    <x v="3"/>
    <s v="Bookshelf"/>
    <x v="0"/>
    <n v="1529.27"/>
    <n v="263.20999999999998"/>
    <n v="8"/>
    <s v="Corporate"/>
  </r>
  <r>
    <n v="85094"/>
    <x v="46"/>
    <x v="2"/>
    <s v="Notebook"/>
    <x v="1"/>
    <n v="3578.38"/>
    <n v="376.68"/>
    <n v="10"/>
    <s v="Small Business"/>
  </r>
  <r>
    <n v="34576"/>
    <x v="47"/>
    <x v="0"/>
    <s v="Smartphone"/>
    <x v="2"/>
    <n v="1075.52"/>
    <n v="182.99"/>
    <n v="3"/>
    <s v="Small Business"/>
  </r>
  <r>
    <n v="16215"/>
    <x v="48"/>
    <x v="1"/>
    <s v="Pen"/>
    <x v="1"/>
    <n v="3277.68"/>
    <n v="596.79"/>
    <n v="8"/>
    <s v="Home Office"/>
  </r>
  <r>
    <n v="50568"/>
    <x v="28"/>
    <x v="2"/>
    <s v="Printer"/>
    <x v="2"/>
    <n v="1010.73"/>
    <n v="231.87431578947385"/>
    <n v="4"/>
    <s v="Home Office"/>
  </r>
  <r>
    <n v="38625"/>
    <x v="49"/>
    <x v="3"/>
    <s v="Bookshelf"/>
    <x v="0"/>
    <n v="4214.96"/>
    <n v="685.24"/>
    <n v="9"/>
    <s v="Corporate"/>
  </r>
  <r>
    <n v="90878"/>
    <x v="50"/>
    <x v="2"/>
    <s v="Smartphone"/>
    <x v="2"/>
    <n v="356.5"/>
    <n v="84.7"/>
    <n v="3"/>
    <s v="Consumer"/>
  </r>
  <r>
    <n v="46636"/>
    <x v="51"/>
    <x v="0"/>
    <s v="Laptop"/>
    <x v="2"/>
    <n v="136.77000000000001"/>
    <n v="34.49"/>
    <n v="1"/>
    <s v="Consumer"/>
  </r>
  <r>
    <n v="81660"/>
    <x v="52"/>
    <x v="2"/>
    <s v="Stapler"/>
    <x v="1"/>
    <n v="57.1"/>
    <n v="9.18"/>
    <n v="2"/>
    <s v="Small Business"/>
  </r>
  <r>
    <n v="44816"/>
    <x v="53"/>
    <x v="0"/>
    <s v="Bookshelf"/>
    <x v="0"/>
    <n v="3598.12"/>
    <n v="771.01"/>
    <n v="9"/>
    <s v="Home Office"/>
  </r>
  <r>
    <n v="61747"/>
    <x v="54"/>
    <x v="3"/>
    <s v="Notebook"/>
    <x v="1"/>
    <n v="4099.26"/>
    <n v="1036.9000000000001"/>
    <n v="9"/>
    <s v="Home Office"/>
  </r>
  <r>
    <n v="96828"/>
    <x v="55"/>
    <x v="0"/>
    <s v="Smartphone"/>
    <x v="2"/>
    <n v="839.53"/>
    <n v="102.68"/>
    <n v="4"/>
    <s v="Consumer"/>
  </r>
  <r>
    <n v="31328"/>
    <x v="56"/>
    <x v="3"/>
    <s v="Notebook"/>
    <x v="1"/>
    <n v="1919.94"/>
    <n v="345.52"/>
    <n v="6"/>
    <s v="Corporate"/>
  </r>
  <r>
    <n v="32441"/>
    <x v="57"/>
    <x v="3"/>
    <s v="Smartphone"/>
    <x v="2"/>
    <n v="1418.79"/>
    <n v="312.07"/>
    <n v="4"/>
    <s v="Small Business"/>
  </r>
  <r>
    <n v="11510"/>
    <x v="58"/>
    <x v="1"/>
    <s v="Bookshelf"/>
    <x v="0"/>
    <n v="393.35"/>
    <n v="70.45"/>
    <n v="3"/>
    <s v="Consumer"/>
  </r>
  <r>
    <n v="87603"/>
    <x v="59"/>
    <x v="1"/>
    <s v="Notebook"/>
    <x v="1"/>
    <n v="1413.4390526315788"/>
    <n v="137.27000000000001"/>
    <n v="4"/>
    <s v="Consumer"/>
  </r>
  <r>
    <n v="74196"/>
    <x v="60"/>
    <x v="3"/>
    <s v="Laptop"/>
    <x v="2"/>
    <n v="3112.93"/>
    <n v="676.14"/>
    <n v="7"/>
    <s v="Consumer"/>
  </r>
  <r>
    <n v="97797"/>
    <x v="61"/>
    <x v="0"/>
    <s v="Bookshelf"/>
    <x v="0"/>
    <n v="963.2"/>
    <n v="261.93"/>
    <n v="3"/>
    <s v="Consumer"/>
  </r>
  <r>
    <n v="25206"/>
    <x v="12"/>
    <x v="0"/>
    <s v="Pen"/>
    <x v="1"/>
    <n v="1849.73"/>
    <n v="231.87431578947385"/>
    <n v="8"/>
    <s v="Home Office"/>
  </r>
  <r>
    <n v="53868"/>
    <x v="47"/>
    <x v="2"/>
    <s v="Pen"/>
    <x v="1"/>
    <n v="1486.32"/>
    <n v="248.17"/>
    <n v="10"/>
    <s v="Home Office"/>
  </r>
  <r>
    <n v="98485"/>
    <x v="7"/>
    <x v="3"/>
    <s v="Bookshelf"/>
    <x v="0"/>
    <n v="48.14"/>
    <n v="6.51"/>
    <n v="1"/>
    <s v="Home Office"/>
  </r>
  <r>
    <n v="49562"/>
    <x v="62"/>
    <x v="2"/>
    <s v="Pen"/>
    <x v="1"/>
    <n v="12.19"/>
    <n v="1.03"/>
    <n v="1"/>
    <s v="Corporate"/>
  </r>
  <r>
    <n v="83037"/>
    <x v="63"/>
    <x v="2"/>
    <s v="Laptop"/>
    <x v="2"/>
    <n v="142.53"/>
    <n v="25.19"/>
    <n v="6"/>
    <s v="Corporate"/>
  </r>
  <r>
    <n v="37456"/>
    <x v="64"/>
    <x v="3"/>
    <s v="Smartphone"/>
    <x v="2"/>
    <n v="1122.47"/>
    <n v="90.4"/>
    <n v="7"/>
    <s v="Home Office"/>
  </r>
  <r>
    <n v="39372"/>
    <x v="65"/>
    <x v="0"/>
    <s v="Stapler"/>
    <x v="1"/>
    <n v="1430.67"/>
    <n v="394.04"/>
    <n v="9"/>
    <s v="Small Business"/>
  </r>
  <r>
    <n v="64293"/>
    <x v="66"/>
    <x v="1"/>
    <s v="Chair"/>
    <x v="0"/>
    <n v="1248.8599999999999"/>
    <n v="166.75"/>
    <n v="3"/>
    <s v="Corporate"/>
  </r>
  <r>
    <n v="79018"/>
    <x v="67"/>
    <x v="3"/>
    <s v="Chair"/>
    <x v="0"/>
    <n v="469.91"/>
    <n v="89.74"/>
    <n v="1"/>
    <s v="Consumer"/>
  </r>
  <r>
    <n v="41680"/>
    <x v="68"/>
    <x v="2"/>
    <s v="Bookshelf"/>
    <x v="0"/>
    <n v="292.2"/>
    <n v="22.49"/>
    <n v="3"/>
    <s v="Consumer"/>
  </r>
  <r>
    <n v="92394"/>
    <x v="41"/>
    <x v="2"/>
    <s v="Laptop"/>
    <x v="2"/>
    <n v="985.59"/>
    <n v="97.38"/>
    <n v="7"/>
    <s v="Corporate"/>
  </r>
  <r>
    <n v="58474"/>
    <x v="69"/>
    <x v="2"/>
    <s v="Smartphone"/>
    <x v="2"/>
    <n v="249.34"/>
    <n v="59.23"/>
    <n v="4"/>
    <s v="Small Business"/>
  </r>
  <r>
    <n v="43499"/>
    <x v="70"/>
    <x v="1"/>
    <s v="Table"/>
    <x v="0"/>
    <n v="424.61"/>
    <n v="98.42"/>
    <n v="4"/>
    <s v="Consumer"/>
  </r>
  <r>
    <n v="90613"/>
    <x v="71"/>
    <x v="0"/>
    <s v="Stapler"/>
    <x v="1"/>
    <n v="2079.5500000000002"/>
    <n v="235.13"/>
    <n v="9"/>
    <s v="Consumer"/>
  </r>
  <r>
    <n v="60407"/>
    <x v="72"/>
    <x v="0"/>
    <s v="Smartphone"/>
    <x v="2"/>
    <n v="1490.03"/>
    <n v="402.43"/>
    <n v="9"/>
    <s v="Corporate"/>
  </r>
  <r>
    <n v="45980"/>
    <x v="73"/>
    <x v="1"/>
    <s v="Bookshelf"/>
    <x v="0"/>
    <n v="1076.74"/>
    <n v="312.05"/>
    <n v="5"/>
    <s v="Home Office"/>
  </r>
  <r>
    <n v="20445"/>
    <x v="74"/>
    <x v="1"/>
    <s v="Stapler"/>
    <x v="1"/>
    <n v="1110.92"/>
    <n v="182.31"/>
    <n v="6"/>
    <s v="Home Office"/>
  </r>
  <r>
    <n v="21530"/>
    <x v="75"/>
    <x v="2"/>
    <s v="Laptop"/>
    <x v="2"/>
    <n v="160.15"/>
    <n v="8.61"/>
    <n v="1"/>
    <s v="Home Office"/>
  </r>
  <r>
    <n v="55000"/>
    <x v="76"/>
    <x v="3"/>
    <s v="Smartphone"/>
    <x v="2"/>
    <n v="215.74"/>
    <n v="231.87431578947385"/>
    <n v="8"/>
    <s v="Home Office"/>
  </r>
  <r>
    <n v="29922"/>
    <x v="77"/>
    <x v="2"/>
    <s v="Printer"/>
    <x v="2"/>
    <n v="237.61"/>
    <n v="18.579999999999998"/>
    <n v="8"/>
    <s v="Consumer"/>
  </r>
  <r>
    <n v="87356"/>
    <x v="78"/>
    <x v="1"/>
    <s v="Notebook"/>
    <x v="1"/>
    <n v="714.06"/>
    <n v="40.18"/>
    <n v="6"/>
    <s v="Corporate"/>
  </r>
  <r>
    <n v="97598"/>
    <x v="15"/>
    <x v="1"/>
    <s v="Smartphone"/>
    <x v="2"/>
    <n v="956.05"/>
    <n v="212.64"/>
    <n v="2"/>
    <s v="Home Office"/>
  </r>
  <r>
    <n v="58558"/>
    <x v="79"/>
    <x v="2"/>
    <s v="Pen"/>
    <x v="1"/>
    <n v="2128.29"/>
    <n v="140.06"/>
    <n v="8"/>
    <s v="Home Office"/>
  </r>
  <r>
    <n v="59130"/>
    <x v="16"/>
    <x v="0"/>
    <s v="Table"/>
    <x v="0"/>
    <n v="118.65"/>
    <n v="5.99"/>
    <n v="2"/>
    <s v="Corporate"/>
  </r>
  <r>
    <n v="21834"/>
    <x v="80"/>
    <x v="2"/>
    <s v="Pen"/>
    <x v="1"/>
    <n v="44.92"/>
    <n v="7.38"/>
    <n v="4"/>
    <s v="Home Office"/>
  </r>
  <r>
    <n v="59179"/>
    <x v="81"/>
    <x v="2"/>
    <s v="Bookshelf"/>
    <x v="0"/>
    <n v="719.36"/>
    <n v="64.010000000000005"/>
    <n v="8"/>
    <s v="Consumer"/>
  </r>
  <r>
    <n v="29033"/>
    <x v="82"/>
    <x v="0"/>
    <s v="Stapler"/>
    <x v="1"/>
    <n v="1315.86"/>
    <n v="70"/>
    <n v="4"/>
    <s v="Home Office"/>
  </r>
  <r>
    <n v="88698"/>
    <x v="83"/>
    <x v="2"/>
    <s v="Smartphone"/>
    <x v="2"/>
    <n v="253.17"/>
    <n v="69.489999999999995"/>
    <n v="2"/>
    <s v="Small Business"/>
  </r>
  <r>
    <n v="48202"/>
    <x v="82"/>
    <x v="1"/>
    <s v="Chair"/>
    <x v="0"/>
    <n v="2272.73"/>
    <n v="148.74"/>
    <n v="8"/>
    <s v="Corporate"/>
  </r>
  <r>
    <n v="83243"/>
    <x v="84"/>
    <x v="0"/>
    <s v="Notebook"/>
    <x v="1"/>
    <n v="152.65"/>
    <n v="35.74"/>
    <n v="2"/>
    <s v="Small Business"/>
  </r>
  <r>
    <n v="51512"/>
    <x v="85"/>
    <x v="1"/>
    <s v="Table"/>
    <x v="0"/>
    <n v="1644.72"/>
    <n v="456.03"/>
    <n v="4"/>
    <s v="Home Office"/>
  </r>
  <r>
    <n v="37052"/>
    <x v="86"/>
    <x v="3"/>
    <s v="Bookshelf"/>
    <x v="0"/>
    <n v="1848.29"/>
    <n v="285.85000000000002"/>
    <n v="9"/>
    <s v="Small Business"/>
  </r>
  <r>
    <n v="60788"/>
    <x v="87"/>
    <x v="2"/>
    <s v="Table"/>
    <x v="0"/>
    <n v="1413.4390526315788"/>
    <n v="130.28"/>
    <n v="10"/>
    <s v="Consumer"/>
  </r>
  <r>
    <n v="45377"/>
    <x v="82"/>
    <x v="0"/>
    <s v="Table"/>
    <x v="0"/>
    <n v="1680.42"/>
    <n v="174.16"/>
    <n v="4"/>
    <s v="Corporate"/>
  </r>
  <r>
    <n v="97999"/>
    <x v="88"/>
    <x v="0"/>
    <s v="Laptop"/>
    <x v="2"/>
    <n v="4120.9799999999996"/>
    <n v="334.52"/>
    <n v="10"/>
    <s v="Home Office"/>
  </r>
  <r>
    <n v="22166"/>
    <x v="89"/>
    <x v="1"/>
    <s v="Laptop"/>
    <x v="2"/>
    <n v="70.62"/>
    <n v="16.989999999999998"/>
    <n v="10"/>
    <s v="Corporate"/>
  </r>
  <r>
    <n v="97898"/>
    <x v="90"/>
    <x v="1"/>
    <s v="Pen"/>
    <x v="1"/>
    <n v="3591.61"/>
    <n v="853.02"/>
    <n v="8"/>
    <s v="Consumer"/>
  </r>
  <r>
    <n v="23167"/>
    <x v="88"/>
    <x v="2"/>
    <s v="Stapler"/>
    <x v="1"/>
    <n v="949.84"/>
    <n v="57.43"/>
    <n v="6"/>
    <s v="Home Office"/>
  </r>
  <r>
    <n v="51834"/>
    <x v="91"/>
    <x v="0"/>
    <s v="Stapler"/>
    <x v="1"/>
    <n v="3548.18"/>
    <n v="812.92"/>
    <n v="8"/>
    <s v="Corporate"/>
  </r>
  <r>
    <n v="51420"/>
    <x v="92"/>
    <x v="3"/>
    <s v="Pen"/>
    <x v="1"/>
    <n v="275.88"/>
    <n v="15.52"/>
    <n v="2"/>
    <s v="Home Office"/>
  </r>
  <r>
    <n v="16338"/>
    <x v="93"/>
    <x v="2"/>
    <s v="Printer"/>
    <x v="2"/>
    <n v="533.5"/>
    <n v="140.41999999999999"/>
    <n v="5.5368421052631582"/>
    <s v="Home Office"/>
  </r>
  <r>
    <n v="20583"/>
    <x v="94"/>
    <x v="3"/>
    <s v="Notebook"/>
    <x v="1"/>
    <n v="2431.6999999999998"/>
    <n v="174.5"/>
    <n v="5"/>
    <s v="Consumer"/>
  </r>
  <r>
    <n v="58907"/>
    <x v="95"/>
    <x v="3"/>
    <s v="Notebook"/>
    <x v="1"/>
    <n v="1640"/>
    <n v="139.52000000000001"/>
    <n v="8"/>
    <s v="Home Office"/>
  </r>
  <r>
    <n v="62730"/>
    <x v="96"/>
    <x v="3"/>
    <s v="Laptop"/>
    <x v="2"/>
    <n v="676.95"/>
    <n v="161.32"/>
    <n v="4"/>
    <s v="Home Office"/>
  </r>
  <r>
    <n v="34168"/>
    <x v="97"/>
    <x v="2"/>
    <s v="Smartphone"/>
    <x v="2"/>
    <n v="2865.55"/>
    <n v="187.96"/>
    <n v="8"/>
    <s v="Consumer"/>
  </r>
  <r>
    <n v="75251"/>
    <x v="98"/>
    <x v="3"/>
    <s v="Table"/>
    <x v="0"/>
    <n v="2127.0700000000002"/>
    <n v="569.35"/>
    <n v="9"/>
    <s v="Corporate"/>
  </r>
  <r>
    <n v="25515"/>
    <x v="2"/>
    <x v="0"/>
    <s v="Printer"/>
    <x v="2"/>
    <n v="4109.96"/>
    <n v="1007.78"/>
    <n v="9"/>
    <s v="Corporate"/>
  </r>
  <r>
    <n v="19543"/>
    <x v="99"/>
    <x v="1"/>
    <s v="Bookshelf"/>
    <x v="0"/>
    <n v="1148.31"/>
    <n v="308.58"/>
    <n v="6"/>
    <s v="Small Business"/>
  </r>
  <r>
    <n v="62700"/>
    <x v="100"/>
    <x v="1"/>
    <s v="Pen"/>
    <x v="1"/>
    <n v="1279.21"/>
    <n v="292.23"/>
    <n v="8"/>
    <s v="Consumer"/>
  </r>
  <r>
    <n v="93893"/>
    <x v="101"/>
    <x v="0"/>
    <s v="Printer"/>
    <x v="2"/>
    <n v="1713.24"/>
    <n v="108.56"/>
    <n v="5"/>
    <s v="Corporate"/>
  </r>
  <r>
    <n v="25014"/>
    <x v="102"/>
    <x v="0"/>
    <s v="Table"/>
    <x v="0"/>
    <n v="382.05"/>
    <n v="231.87431578947385"/>
    <n v="5"/>
    <s v="Corporate"/>
  </r>
  <r>
    <n v="81033"/>
    <x v="103"/>
    <x v="0"/>
    <s v="Printer"/>
    <x v="2"/>
    <n v="1916"/>
    <n v="112.77"/>
    <n v="4"/>
    <s v="Home Office"/>
  </r>
  <r>
    <n v="61255"/>
    <x v="104"/>
    <x v="3"/>
    <s v="Smartphone"/>
    <x v="2"/>
    <n v="2559.38"/>
    <n v="243.12"/>
    <n v="6"/>
    <s v="Home Office"/>
  </r>
  <r>
    <n v="16252"/>
    <x v="7"/>
    <x v="3"/>
    <s v="Stapler"/>
    <x v="1"/>
    <n v="1713.81"/>
    <n v="384.15"/>
    <n v="9"/>
    <s v="Corporate"/>
  </r>
  <r>
    <n v="33638"/>
    <x v="105"/>
    <x v="3"/>
    <s v="Pen"/>
    <x v="1"/>
    <n v="831.61"/>
    <n v="220.56"/>
    <n v="8"/>
    <s v="Small Business"/>
  </r>
  <r>
    <n v="58854"/>
    <x v="96"/>
    <x v="0"/>
    <s v="Stapler"/>
    <x v="1"/>
    <n v="2428.9"/>
    <n v="167.87"/>
    <n v="9"/>
    <s v="Small Business"/>
  </r>
  <r>
    <n v="20731"/>
    <x v="106"/>
    <x v="3"/>
    <s v="Table"/>
    <x v="0"/>
    <n v="425.44"/>
    <n v="123.64"/>
    <n v="8"/>
    <s v="Small Business"/>
  </r>
  <r>
    <n v="71529"/>
    <x v="107"/>
    <x v="3"/>
    <s v="Laptop"/>
    <x v="2"/>
    <n v="644.51"/>
    <n v="163.68"/>
    <n v="4"/>
    <s v="Corporate"/>
  </r>
  <r>
    <n v="98144"/>
    <x v="108"/>
    <x v="1"/>
    <s v="Laptop"/>
    <x v="2"/>
    <n v="967.68"/>
    <n v="74.400000000000006"/>
    <n v="2"/>
    <s v="Small Business"/>
  </r>
  <r>
    <n v="61819"/>
    <x v="109"/>
    <x v="3"/>
    <s v="Table"/>
    <x v="0"/>
    <n v="1413.4390526315788"/>
    <n v="203.04"/>
    <n v="5"/>
    <s v="Home Office"/>
  </r>
  <r>
    <n v="50260"/>
    <x v="13"/>
    <x v="2"/>
    <s v="Stapler"/>
    <x v="1"/>
    <n v="967.54"/>
    <n v="154.41999999999999"/>
    <n v="3"/>
    <s v="Consumer"/>
  </r>
  <r>
    <n v="19379"/>
    <x v="110"/>
    <x v="3"/>
    <s v="Pen"/>
    <x v="1"/>
    <n v="1135.71"/>
    <n v="215.05"/>
    <n v="3"/>
    <s v="Small Business"/>
  </r>
  <r>
    <n v="78442"/>
    <x v="111"/>
    <x v="0"/>
    <s v="Chair"/>
    <x v="0"/>
    <n v="3178.48"/>
    <n v="896.05"/>
    <n v="10"/>
    <s v="Home Office"/>
  </r>
  <r>
    <n v="28518"/>
    <x v="112"/>
    <x v="2"/>
    <s v="Bookshelf"/>
    <x v="0"/>
    <n v="2373.8000000000002"/>
    <n v="131.08000000000001"/>
    <n v="8"/>
    <s v="Home Office"/>
  </r>
  <r>
    <n v="52114"/>
    <x v="113"/>
    <x v="2"/>
    <s v="Stapler"/>
    <x v="1"/>
    <n v="110.61"/>
    <n v="7.84"/>
    <n v="2"/>
    <s v="Corporate"/>
  </r>
  <r>
    <n v="99505"/>
    <x v="114"/>
    <x v="1"/>
    <s v="Stapler"/>
    <x v="1"/>
    <n v="2056.06"/>
    <n v="459.5"/>
    <n v="6"/>
    <s v="Small Business"/>
  </r>
  <r>
    <n v="64625"/>
    <x v="115"/>
    <x v="1"/>
    <s v="Notebook"/>
    <x v="1"/>
    <n v="1100.32"/>
    <n v="281.62"/>
    <n v="10"/>
    <s v="Home Office"/>
  </r>
  <r>
    <n v="39746"/>
    <x v="116"/>
    <x v="3"/>
    <s v="Smartphone"/>
    <x v="2"/>
    <n v="2274.27"/>
    <n v="129.41"/>
    <n v="7"/>
    <s v="Small Business"/>
  </r>
  <r>
    <n v="96181"/>
    <x v="117"/>
    <x v="0"/>
    <s v="Printer"/>
    <x v="2"/>
    <n v="2306.13"/>
    <n v="280.3"/>
    <n v="5"/>
    <s v="Corporate"/>
  </r>
  <r>
    <n v="48842"/>
    <x v="118"/>
    <x v="1"/>
    <s v="Stapler"/>
    <x v="1"/>
    <n v="1115.3399999999999"/>
    <n v="171.74"/>
    <n v="4"/>
    <s v="Home Office"/>
  </r>
  <r>
    <n v="53655"/>
    <x v="119"/>
    <x v="3"/>
    <s v="Bookshelf"/>
    <x v="0"/>
    <n v="422.19"/>
    <n v="43.43"/>
    <n v="5"/>
    <s v="Corporate"/>
  </r>
  <r>
    <n v="72100"/>
    <x v="120"/>
    <x v="1"/>
    <s v="Pen"/>
    <x v="1"/>
    <n v="64.56"/>
    <n v="14.92"/>
    <n v="1"/>
    <s v="Small Business"/>
  </r>
  <r>
    <n v="54650"/>
    <x v="42"/>
    <x v="1"/>
    <s v="Chair"/>
    <x v="0"/>
    <n v="3502.83"/>
    <n v="498.41"/>
    <n v="9"/>
    <s v="Small Business"/>
  </r>
  <r>
    <n v="34471"/>
    <x v="121"/>
    <x v="0"/>
    <s v="Table"/>
    <x v="0"/>
    <n v="3116.43"/>
    <n v="223.37"/>
    <n v="8"/>
    <s v="Home Office"/>
  </r>
  <r>
    <n v="28129"/>
    <x v="122"/>
    <x v="0"/>
    <s v="Stapler"/>
    <x v="1"/>
    <n v="726.51"/>
    <n v="188.74"/>
    <n v="2"/>
    <s v="Small Business"/>
  </r>
  <r>
    <n v="12495"/>
    <x v="123"/>
    <x v="0"/>
    <s v="Notebook"/>
    <x v="1"/>
    <n v="441.68"/>
    <n v="111.28"/>
    <n v="1"/>
    <s v="Consumer"/>
  </r>
  <r>
    <n v="77616"/>
    <x v="124"/>
    <x v="0"/>
    <s v="Notebook"/>
    <x v="1"/>
    <n v="455.11"/>
    <n v="98.77"/>
    <n v="8"/>
    <s v="Home Office"/>
  </r>
  <r>
    <n v="57433"/>
    <x v="42"/>
    <x v="2"/>
    <s v="Chair"/>
    <x v="0"/>
    <n v="338.47"/>
    <n v="59.2"/>
    <n v="1"/>
    <s v="Home Office"/>
  </r>
  <r>
    <n v="66388"/>
    <x v="125"/>
    <x v="0"/>
    <s v="Chair"/>
    <x v="0"/>
    <n v="956.38"/>
    <n v="109.96"/>
    <n v="6"/>
    <s v="Small Business"/>
  </r>
  <r>
    <n v="79195"/>
    <x v="126"/>
    <x v="2"/>
    <s v="Pen"/>
    <x v="1"/>
    <n v="188.85"/>
    <n v="46.82"/>
    <n v="8"/>
    <s v="Consumer"/>
  </r>
  <r>
    <n v="10669"/>
    <x v="127"/>
    <x v="1"/>
    <s v="Notebook"/>
    <x v="1"/>
    <n v="3132.6"/>
    <n v="404.4"/>
    <n v="10"/>
    <s v="Home Office"/>
  </r>
  <r>
    <n v="31397"/>
    <x v="128"/>
    <x v="2"/>
    <s v="Stapler"/>
    <x v="1"/>
    <n v="739.13"/>
    <n v="155.76"/>
    <n v="3"/>
    <s v="Small Business"/>
  </r>
  <r>
    <n v="10303"/>
    <x v="75"/>
    <x v="1"/>
    <s v="Chair"/>
    <x v="0"/>
    <n v="670.19"/>
    <n v="88.97"/>
    <n v="3"/>
    <s v="Corporate"/>
  </r>
  <r>
    <n v="28554"/>
    <x v="129"/>
    <x v="3"/>
    <s v="Pen"/>
    <x v="1"/>
    <n v="1660.62"/>
    <n v="327.44"/>
    <n v="4"/>
    <s v="Small Business"/>
  </r>
  <r>
    <n v="86414"/>
    <x v="130"/>
    <x v="2"/>
    <s v="Bookshelf"/>
    <x v="0"/>
    <n v="176.93"/>
    <n v="18.63"/>
    <n v="9"/>
    <s v="Small Business"/>
  </r>
  <r>
    <n v="50324"/>
    <x v="131"/>
    <x v="1"/>
    <s v="Bookshelf"/>
    <x v="0"/>
    <n v="3611.04"/>
    <n v="552.15"/>
    <n v="9"/>
    <s v="Home Office"/>
  </r>
  <r>
    <n v="21035"/>
    <x v="132"/>
    <x v="1"/>
    <s v="Table"/>
    <x v="0"/>
    <n v="394.94"/>
    <n v="86.15"/>
    <n v="2"/>
    <s v="Home Office"/>
  </r>
  <r>
    <n v="53476"/>
    <x v="69"/>
    <x v="0"/>
    <s v="Laptop"/>
    <x v="2"/>
    <n v="893.7"/>
    <n v="93.65"/>
    <n v="2"/>
    <s v="Small Business"/>
  </r>
  <r>
    <n v="78220"/>
    <x v="133"/>
    <x v="1"/>
    <s v="Laptop"/>
    <x v="2"/>
    <n v="3625.26"/>
    <n v="481.4"/>
    <n v="5.5368421052631582"/>
    <s v="Corporate"/>
  </r>
  <r>
    <n v="23060"/>
    <x v="134"/>
    <x v="0"/>
    <s v="Bookshelf"/>
    <x v="0"/>
    <n v="348.95"/>
    <n v="39.67"/>
    <n v="8"/>
    <s v="Home Office"/>
  </r>
  <r>
    <n v="66586"/>
    <x v="51"/>
    <x v="3"/>
    <s v="Table"/>
    <x v="0"/>
    <n v="2257.17"/>
    <n v="322.98"/>
    <n v="6"/>
    <s v="Home Office"/>
  </r>
  <r>
    <n v="68432"/>
    <x v="135"/>
    <x v="3"/>
    <s v="Stapler"/>
    <x v="1"/>
    <n v="186.75"/>
    <n v="50.51"/>
    <n v="7"/>
    <s v="Consumer"/>
  </r>
  <r>
    <n v="27555"/>
    <x v="136"/>
    <x v="0"/>
    <s v="Printer"/>
    <x v="2"/>
    <n v="2060.1"/>
    <n v="347.39"/>
    <n v="8"/>
    <s v="Consumer"/>
  </r>
  <r>
    <n v="93590"/>
    <x v="137"/>
    <x v="3"/>
    <s v="Smartphone"/>
    <x v="2"/>
    <n v="3141.83"/>
    <n v="675.49"/>
    <n v="5.5368421052631582"/>
    <s v="Consumer"/>
  </r>
  <r>
    <n v="97507"/>
    <x v="138"/>
    <x v="2"/>
    <s v="Pen"/>
    <x v="1"/>
    <n v="176.88"/>
    <n v="23.65"/>
    <n v="2"/>
    <s v="Home Office"/>
  </r>
  <r>
    <n v="18822"/>
    <x v="139"/>
    <x v="0"/>
    <s v="Table"/>
    <x v="0"/>
    <n v="3273.9"/>
    <n v="580.65"/>
    <n v="7"/>
    <s v="Small Business"/>
  </r>
  <r>
    <n v="92708"/>
    <x v="140"/>
    <x v="3"/>
    <s v="Stapler"/>
    <x v="1"/>
    <n v="191.16"/>
    <n v="48.05"/>
    <n v="7"/>
    <s v="Consumer"/>
  </r>
  <r>
    <n v="56587"/>
    <x v="141"/>
    <x v="3"/>
    <s v="Smartphone"/>
    <x v="2"/>
    <n v="1992.99"/>
    <n v="319.99"/>
    <n v="5.5368421052631582"/>
    <s v="Home Office"/>
  </r>
  <r>
    <n v="89637"/>
    <x v="142"/>
    <x v="3"/>
    <s v="Bookshelf"/>
    <x v="0"/>
    <n v="3706.7"/>
    <n v="231.87431578947385"/>
    <n v="8"/>
    <s v="Consumer"/>
  </r>
  <r>
    <n v="82595"/>
    <x v="54"/>
    <x v="1"/>
    <s v="Laptop"/>
    <x v="2"/>
    <n v="548.66"/>
    <n v="37.409999999999997"/>
    <n v="4"/>
    <s v="Small Business"/>
  </r>
  <r>
    <n v="14682"/>
    <x v="143"/>
    <x v="3"/>
    <s v="Table"/>
    <x v="0"/>
    <n v="1003.63"/>
    <n v="253.76"/>
    <n v="4"/>
    <s v="Corporate"/>
  </r>
  <r>
    <n v="81081"/>
    <x v="125"/>
    <x v="0"/>
    <s v="Pen"/>
    <x v="1"/>
    <n v="461.51"/>
    <n v="66.8"/>
    <n v="1"/>
    <s v="Consumer"/>
  </r>
  <r>
    <n v="95672"/>
    <x v="144"/>
    <x v="3"/>
    <s v="Table"/>
    <x v="0"/>
    <n v="3916.88"/>
    <n v="655.14"/>
    <n v="5.5368421052631582"/>
    <s v="Small Business"/>
  </r>
  <r>
    <n v="63259"/>
    <x v="145"/>
    <x v="1"/>
    <s v="Notebook"/>
    <x v="1"/>
    <n v="183.9"/>
    <n v="231.87431578947385"/>
    <n v="2"/>
    <s v="Corporate"/>
  </r>
  <r>
    <n v="53852"/>
    <x v="146"/>
    <x v="2"/>
    <s v="Stapler"/>
    <x v="1"/>
    <n v="2772.81"/>
    <n v="307.98"/>
    <n v="10"/>
    <s v="Small Business"/>
  </r>
  <r>
    <n v="76967"/>
    <x v="147"/>
    <x v="1"/>
    <s v="Laptop"/>
    <x v="2"/>
    <n v="2559.29"/>
    <n v="147.32"/>
    <n v="10"/>
    <s v="Home Office"/>
  </r>
  <r>
    <n v="92186"/>
    <x v="148"/>
    <x v="2"/>
    <s v="Table"/>
    <x v="0"/>
    <n v="371.67"/>
    <n v="46.84"/>
    <n v="4"/>
    <s v="Corporate"/>
  </r>
  <r>
    <n v="77932"/>
    <x v="149"/>
    <x v="0"/>
    <s v="Notebook"/>
    <x v="1"/>
    <n v="2869.82"/>
    <n v="160.49"/>
    <n v="9"/>
    <s v="Small Business"/>
  </r>
  <r>
    <n v="80731"/>
    <x v="150"/>
    <x v="1"/>
    <s v="Table"/>
    <x v="0"/>
    <n v="847.95"/>
    <n v="192.83"/>
    <n v="10"/>
    <s v="Home Office"/>
  </r>
  <r>
    <n v="99372"/>
    <x v="151"/>
    <x v="3"/>
    <s v="Smartphone"/>
    <x v="2"/>
    <n v="2493.37"/>
    <n v="606.63"/>
    <n v="10"/>
    <s v="Corporate"/>
  </r>
  <r>
    <n v="50455"/>
    <x v="152"/>
    <x v="0"/>
    <s v="Smartphone"/>
    <x v="2"/>
    <n v="379.65"/>
    <n v="78.69"/>
    <n v="3"/>
    <s v="Consumer"/>
  </r>
  <r>
    <n v="97558"/>
    <x v="153"/>
    <x v="2"/>
    <s v="Laptop"/>
    <x v="2"/>
    <n v="360.9"/>
    <n v="57.62"/>
    <n v="4"/>
    <s v="Home Office"/>
  </r>
  <r>
    <n v="63736"/>
    <x v="154"/>
    <x v="2"/>
    <s v="Chair"/>
    <x v="0"/>
    <n v="287.94"/>
    <n v="56.54"/>
    <n v="5"/>
    <s v="Home Office"/>
  </r>
  <r>
    <n v="54752"/>
    <x v="155"/>
    <x v="2"/>
    <s v="Bookshelf"/>
    <x v="0"/>
    <n v="1752.32"/>
    <n v="88.9"/>
    <n v="5"/>
    <s v="Corporate"/>
  </r>
  <r>
    <n v="95731"/>
    <x v="156"/>
    <x v="1"/>
    <s v="Bookshelf"/>
    <x v="0"/>
    <n v="1413.4390526315788"/>
    <n v="12.2"/>
    <n v="1"/>
    <s v="Home Office"/>
  </r>
  <r>
    <n v="20220"/>
    <x v="157"/>
    <x v="1"/>
    <s v="Smartphone"/>
    <x v="2"/>
    <n v="2837.7"/>
    <n v="767.22"/>
    <n v="6"/>
    <s v="Home Office"/>
  </r>
  <r>
    <n v="89396"/>
    <x v="158"/>
    <x v="2"/>
    <s v="Chair"/>
    <x v="0"/>
    <n v="331.3"/>
    <n v="37.229999999999997"/>
    <n v="1"/>
    <s v="Consumer"/>
  </r>
  <r>
    <n v="48020"/>
    <x v="11"/>
    <x v="0"/>
    <s v="Notebook"/>
    <x v="1"/>
    <n v="3235.17"/>
    <n v="307.87"/>
    <n v="8"/>
    <s v="Consumer"/>
  </r>
  <r>
    <n v="34084"/>
    <x v="159"/>
    <x v="2"/>
    <s v="Laptop"/>
    <x v="2"/>
    <n v="642.99"/>
    <n v="96.97"/>
    <n v="9"/>
    <s v="Consumer"/>
  </r>
  <r>
    <n v="34841"/>
    <x v="160"/>
    <x v="3"/>
    <s v="Table"/>
    <x v="0"/>
    <n v="336.18"/>
    <n v="37.33"/>
    <n v="6"/>
    <s v="Consumer"/>
  </r>
  <r>
    <n v="96661"/>
    <x v="161"/>
    <x v="3"/>
    <s v="Printer"/>
    <x v="2"/>
    <n v="1198.8900000000001"/>
    <n v="134.86000000000001"/>
    <n v="3"/>
    <s v="Corporate"/>
  </r>
  <r>
    <n v="87742"/>
    <x v="162"/>
    <x v="1"/>
    <s v="Laptop"/>
    <x v="2"/>
    <n v="2489.56"/>
    <n v="235.42"/>
    <n v="6"/>
    <s v="Consumer"/>
  </r>
  <r>
    <n v="85254"/>
    <x v="122"/>
    <x v="0"/>
    <s v="Bookshelf"/>
    <x v="0"/>
    <n v="712.8"/>
    <n v="173.06"/>
    <n v="6"/>
    <s v="Home Office"/>
  </r>
  <r>
    <n v="28410"/>
    <x v="163"/>
    <x v="2"/>
    <s v="Printer"/>
    <x v="2"/>
    <n v="291.44"/>
    <n v="60.02"/>
    <n v="5.5368421052631582"/>
    <s v="Consumer"/>
  </r>
  <r>
    <n v="65584"/>
    <x v="164"/>
    <x v="2"/>
    <s v="Pen"/>
    <x v="1"/>
    <n v="379.59"/>
    <n v="41.99"/>
    <n v="2"/>
    <s v="Small Business"/>
  </r>
  <r>
    <n v="47380"/>
    <x v="165"/>
    <x v="2"/>
    <s v="Laptop"/>
    <x v="2"/>
    <n v="322.63"/>
    <n v="23.2"/>
    <n v="2"/>
    <s v="Small Business"/>
  </r>
  <r>
    <n v="78148"/>
    <x v="6"/>
    <x v="0"/>
    <s v="Smartphone"/>
    <x v="2"/>
    <n v="4360.38"/>
    <n v="580.99"/>
    <n v="9"/>
    <s v="Home Office"/>
  </r>
  <r>
    <n v="30828"/>
    <x v="101"/>
    <x v="0"/>
    <s v="Notebook"/>
    <x v="1"/>
    <n v="389.33"/>
    <n v="72.459999999999994"/>
    <n v="5.5368421052631582"/>
    <s v="Home Office"/>
  </r>
  <r>
    <n v="23236"/>
    <x v="62"/>
    <x v="1"/>
    <s v="Chair"/>
    <x v="0"/>
    <n v="415.13"/>
    <n v="111.36"/>
    <n v="1"/>
    <s v="Home Office"/>
  </r>
  <r>
    <n v="33146"/>
    <x v="166"/>
    <x v="0"/>
    <s v="Smartphone"/>
    <x v="2"/>
    <n v="2131.12"/>
    <n v="414.58"/>
    <n v="7"/>
    <s v="Corporate"/>
  </r>
  <r>
    <n v="52570"/>
    <x v="167"/>
    <x v="1"/>
    <s v="Bookshelf"/>
    <x v="0"/>
    <n v="877.02"/>
    <n v="203.02"/>
    <n v="3"/>
    <s v="Consumer"/>
  </r>
  <r>
    <n v="13338"/>
    <x v="168"/>
    <x v="1"/>
    <s v="Table"/>
    <x v="0"/>
    <n v="365.25"/>
    <n v="46.46"/>
    <n v="4"/>
    <s v="Small Business"/>
  </r>
  <r>
    <n v="44744"/>
    <x v="169"/>
    <x v="2"/>
    <s v="Stapler"/>
    <x v="1"/>
    <n v="2323.59"/>
    <n v="399.16"/>
    <n v="8"/>
    <s v="Home Office"/>
  </r>
  <r>
    <n v="68560"/>
    <x v="170"/>
    <x v="2"/>
    <s v="Stapler"/>
    <x v="1"/>
    <n v="21.11"/>
    <n v="3.82"/>
    <n v="2"/>
    <s v="Consumer"/>
  </r>
  <r>
    <n v="50688"/>
    <x v="171"/>
    <x v="1"/>
    <s v="Bookshelf"/>
    <x v="0"/>
    <n v="867.48"/>
    <n v="235.79"/>
    <n v="3"/>
    <s v="Corporat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F29F4D-B06C-4654-943C-6632CD36F06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Q2:R6" firstHeaderRow="1" firstDataRow="1" firstDataCol="1"/>
  <pivotFields count="12">
    <pivotField showAll="0"/>
    <pivotField numFmtId="14" showAll="0">
      <items count="173">
        <item x="30"/>
        <item x="54"/>
        <item x="142"/>
        <item x="57"/>
        <item x="73"/>
        <item x="78"/>
        <item x="155"/>
        <item x="80"/>
        <item x="46"/>
        <item x="2"/>
        <item x="166"/>
        <item x="171"/>
        <item x="150"/>
        <item x="105"/>
        <item x="92"/>
        <item x="149"/>
        <item x="56"/>
        <item x="74"/>
        <item x="115"/>
        <item x="94"/>
        <item x="32"/>
        <item x="43"/>
        <item x="158"/>
        <item x="116"/>
        <item x="45"/>
        <item x="68"/>
        <item x="145"/>
        <item x="168"/>
        <item x="71"/>
        <item x="91"/>
        <item x="104"/>
        <item x="14"/>
        <item x="62"/>
        <item x="8"/>
        <item x="17"/>
        <item x="146"/>
        <item x="156"/>
        <item x="26"/>
        <item x="75"/>
        <item x="69"/>
        <item x="98"/>
        <item x="21"/>
        <item x="44"/>
        <item x="165"/>
        <item x="29"/>
        <item x="63"/>
        <item x="110"/>
        <item x="122"/>
        <item x="126"/>
        <item x="107"/>
        <item x="27"/>
        <item x="151"/>
        <item x="130"/>
        <item x="144"/>
        <item x="7"/>
        <item x="52"/>
        <item x="60"/>
        <item x="89"/>
        <item x="132"/>
        <item x="96"/>
        <item x="19"/>
        <item x="48"/>
        <item x="128"/>
        <item x="161"/>
        <item x="18"/>
        <item x="16"/>
        <item x="118"/>
        <item x="124"/>
        <item x="90"/>
        <item x="23"/>
        <item x="167"/>
        <item x="159"/>
        <item x="37"/>
        <item x="10"/>
        <item x="93"/>
        <item x="100"/>
        <item x="42"/>
        <item x="72"/>
        <item x="65"/>
        <item x="88"/>
        <item x="47"/>
        <item x="11"/>
        <item x="103"/>
        <item x="139"/>
        <item x="114"/>
        <item x="97"/>
        <item x="15"/>
        <item x="77"/>
        <item x="141"/>
        <item x="51"/>
        <item x="137"/>
        <item x="148"/>
        <item x="102"/>
        <item x="79"/>
        <item x="108"/>
        <item x="83"/>
        <item x="125"/>
        <item x="12"/>
        <item x="133"/>
        <item x="58"/>
        <item x="4"/>
        <item x="61"/>
        <item x="20"/>
        <item x="112"/>
        <item x="6"/>
        <item x="134"/>
        <item x="31"/>
        <item x="22"/>
        <item x="162"/>
        <item x="59"/>
        <item x="154"/>
        <item x="38"/>
        <item x="123"/>
        <item x="76"/>
        <item x="99"/>
        <item x="138"/>
        <item x="113"/>
        <item x="140"/>
        <item x="66"/>
        <item x="28"/>
        <item x="160"/>
        <item x="120"/>
        <item x="136"/>
        <item x="53"/>
        <item x="121"/>
        <item x="81"/>
        <item x="153"/>
        <item x="33"/>
        <item x="3"/>
        <item x="13"/>
        <item x="0"/>
        <item x="70"/>
        <item x="135"/>
        <item x="131"/>
        <item x="101"/>
        <item x="41"/>
        <item x="1"/>
        <item x="82"/>
        <item x="39"/>
        <item x="49"/>
        <item x="87"/>
        <item x="25"/>
        <item x="95"/>
        <item x="147"/>
        <item x="84"/>
        <item x="164"/>
        <item x="34"/>
        <item x="36"/>
        <item x="24"/>
        <item x="157"/>
        <item x="163"/>
        <item x="106"/>
        <item x="64"/>
        <item x="127"/>
        <item x="35"/>
        <item x="117"/>
        <item x="5"/>
        <item x="86"/>
        <item x="50"/>
        <item x="111"/>
        <item x="109"/>
        <item x="152"/>
        <item x="129"/>
        <item x="9"/>
        <item x="169"/>
        <item x="170"/>
        <item x="40"/>
        <item x="85"/>
        <item x="55"/>
        <item x="67"/>
        <item x="143"/>
        <item x="119"/>
        <item t="default"/>
      </items>
    </pivotField>
    <pivotField showAll="0">
      <items count="5">
        <item x="0"/>
        <item x="3"/>
        <item x="1"/>
        <item x="2"/>
        <item t="default"/>
      </items>
    </pivotField>
    <pivotField showAll="0"/>
    <pivotField axis="axisRow" showAll="0">
      <items count="4">
        <item x="0"/>
        <item x="1"/>
        <item x="2"/>
        <item t="default"/>
      </items>
    </pivotField>
    <pivotField dataField="1" numFmtId="1" showAll="0"/>
    <pivotField numFmtId="1" showAll="0"/>
    <pivotField numFmtId="1"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5">
        <item x="0"/>
        <item x="1"/>
        <item x="2"/>
        <item x="3"/>
        <item x="4"/>
      </items>
    </pivotField>
  </pivotFields>
  <rowFields count="1">
    <field x="4"/>
  </rowFields>
  <rowItems count="4">
    <i>
      <x/>
    </i>
    <i>
      <x v="1"/>
    </i>
    <i>
      <x v="2"/>
    </i>
    <i t="grand">
      <x/>
    </i>
  </rowItems>
  <colItems count="1">
    <i/>
  </colItems>
  <dataFields count="1">
    <dataField name="Sum of Sales" fld="5" baseField="0" baseItem="0" numFmtId="1"/>
  </dataFields>
  <chartFormats count="8">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4" count="1" selected="0">
            <x v="0"/>
          </reference>
        </references>
      </pivotArea>
    </chartFormat>
    <chartFormat chart="4" format="7">
      <pivotArea type="data" outline="0" fieldPosition="0">
        <references count="2">
          <reference field="4294967294" count="1" selected="0">
            <x v="0"/>
          </reference>
          <reference field="4" count="1" selected="0">
            <x v="1"/>
          </reference>
        </references>
      </pivotArea>
    </chartFormat>
    <chartFormat chart="4" format="8">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600CA5-E235-46AB-B963-0E946DDB5F5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I2:J15" firstHeaderRow="1" firstDataRow="1" firstDataCol="1"/>
  <pivotFields count="12">
    <pivotField showAll="0"/>
    <pivotField numFmtId="14" showAll="0">
      <items count="173">
        <item x="30"/>
        <item x="54"/>
        <item x="142"/>
        <item x="57"/>
        <item x="73"/>
        <item x="78"/>
        <item x="155"/>
        <item x="80"/>
        <item x="46"/>
        <item x="2"/>
        <item x="166"/>
        <item x="171"/>
        <item x="150"/>
        <item x="105"/>
        <item x="92"/>
        <item x="149"/>
        <item x="56"/>
        <item x="74"/>
        <item x="115"/>
        <item x="94"/>
        <item x="32"/>
        <item x="43"/>
        <item x="158"/>
        <item x="116"/>
        <item x="45"/>
        <item x="68"/>
        <item x="145"/>
        <item x="168"/>
        <item x="71"/>
        <item x="91"/>
        <item x="104"/>
        <item x="14"/>
        <item x="62"/>
        <item x="8"/>
        <item x="17"/>
        <item x="146"/>
        <item x="156"/>
        <item x="26"/>
        <item x="75"/>
        <item x="69"/>
        <item x="98"/>
        <item x="21"/>
        <item x="44"/>
        <item x="165"/>
        <item x="29"/>
        <item x="63"/>
        <item x="110"/>
        <item x="122"/>
        <item x="126"/>
        <item x="107"/>
        <item x="27"/>
        <item x="151"/>
        <item x="130"/>
        <item x="144"/>
        <item x="7"/>
        <item x="52"/>
        <item x="60"/>
        <item x="89"/>
        <item x="132"/>
        <item x="96"/>
        <item x="19"/>
        <item x="48"/>
        <item x="128"/>
        <item x="161"/>
        <item x="18"/>
        <item x="16"/>
        <item x="118"/>
        <item x="124"/>
        <item x="90"/>
        <item x="23"/>
        <item x="167"/>
        <item x="159"/>
        <item x="37"/>
        <item x="10"/>
        <item x="93"/>
        <item x="100"/>
        <item x="42"/>
        <item x="72"/>
        <item x="65"/>
        <item x="88"/>
        <item x="47"/>
        <item x="11"/>
        <item x="103"/>
        <item x="139"/>
        <item x="114"/>
        <item x="97"/>
        <item x="15"/>
        <item x="77"/>
        <item x="141"/>
        <item x="51"/>
        <item x="137"/>
        <item x="148"/>
        <item x="102"/>
        <item x="79"/>
        <item x="108"/>
        <item x="83"/>
        <item x="125"/>
        <item x="12"/>
        <item x="133"/>
        <item x="58"/>
        <item x="4"/>
        <item x="61"/>
        <item x="20"/>
        <item x="112"/>
        <item x="6"/>
        <item x="134"/>
        <item x="31"/>
        <item x="22"/>
        <item x="162"/>
        <item x="59"/>
        <item x="154"/>
        <item x="38"/>
        <item x="123"/>
        <item x="76"/>
        <item x="99"/>
        <item x="138"/>
        <item x="113"/>
        <item x="140"/>
        <item x="66"/>
        <item x="28"/>
        <item x="160"/>
        <item x="120"/>
        <item x="136"/>
        <item x="53"/>
        <item x="121"/>
        <item x="81"/>
        <item x="153"/>
        <item x="33"/>
        <item x="3"/>
        <item x="13"/>
        <item x="0"/>
        <item x="70"/>
        <item x="135"/>
        <item x="131"/>
        <item x="101"/>
        <item x="41"/>
        <item x="1"/>
        <item x="82"/>
        <item x="39"/>
        <item x="49"/>
        <item x="87"/>
        <item x="25"/>
        <item x="95"/>
        <item x="147"/>
        <item x="84"/>
        <item x="164"/>
        <item x="34"/>
        <item x="36"/>
        <item x="24"/>
        <item x="157"/>
        <item x="163"/>
        <item x="106"/>
        <item x="64"/>
        <item x="127"/>
        <item x="35"/>
        <item x="117"/>
        <item x="5"/>
        <item x="86"/>
        <item x="50"/>
        <item x="111"/>
        <item x="109"/>
        <item x="152"/>
        <item x="129"/>
        <item x="9"/>
        <item x="169"/>
        <item x="170"/>
        <item x="40"/>
        <item x="85"/>
        <item x="55"/>
        <item x="67"/>
        <item x="143"/>
        <item x="119"/>
        <item t="default"/>
      </items>
    </pivotField>
    <pivotField showAll="0">
      <items count="5">
        <item x="0"/>
        <item x="3"/>
        <item x="1"/>
        <item x="2"/>
        <item t="default"/>
      </items>
    </pivotField>
    <pivotField showAll="0"/>
    <pivotField showAll="0">
      <items count="4">
        <item x="0"/>
        <item x="1"/>
        <item x="2"/>
        <item t="default"/>
      </items>
    </pivotField>
    <pivotField dataField="1" numFmtId="1" showAll="0"/>
    <pivotField numFmtId="1" showAll="0"/>
    <pivotField numFmtI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9"/>
  </rowFields>
  <rowItems count="13">
    <i>
      <x v="1"/>
    </i>
    <i>
      <x v="2"/>
    </i>
    <i>
      <x v="3"/>
    </i>
    <i>
      <x v="4"/>
    </i>
    <i>
      <x v="5"/>
    </i>
    <i>
      <x v="6"/>
    </i>
    <i>
      <x v="7"/>
    </i>
    <i>
      <x v="8"/>
    </i>
    <i>
      <x v="9"/>
    </i>
    <i>
      <x v="10"/>
    </i>
    <i>
      <x v="11"/>
    </i>
    <i>
      <x v="12"/>
    </i>
    <i t="grand">
      <x/>
    </i>
  </rowItems>
  <colItems count="1">
    <i/>
  </colItems>
  <dataFields count="1">
    <dataField name="Sum of Sales" fld="5" baseField="0" baseItem="0" numFmtId="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3FBE3D-7B53-41B7-8835-ADBCD1ECDAB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8" firstHeaderRow="1" firstDataRow="1" firstDataCol="1"/>
  <pivotFields count="12">
    <pivotField showAll="0"/>
    <pivotField numFmtId="14" showAll="0">
      <items count="173">
        <item x="30"/>
        <item x="54"/>
        <item x="142"/>
        <item x="57"/>
        <item x="73"/>
        <item x="78"/>
        <item x="155"/>
        <item x="80"/>
        <item x="46"/>
        <item x="2"/>
        <item x="166"/>
        <item x="171"/>
        <item x="150"/>
        <item x="105"/>
        <item x="92"/>
        <item x="149"/>
        <item x="56"/>
        <item x="74"/>
        <item x="115"/>
        <item x="94"/>
        <item x="32"/>
        <item x="43"/>
        <item x="158"/>
        <item x="116"/>
        <item x="45"/>
        <item x="68"/>
        <item x="145"/>
        <item x="168"/>
        <item x="71"/>
        <item x="91"/>
        <item x="104"/>
        <item x="14"/>
        <item x="62"/>
        <item x="8"/>
        <item x="17"/>
        <item x="146"/>
        <item x="156"/>
        <item x="26"/>
        <item x="75"/>
        <item x="69"/>
        <item x="98"/>
        <item x="21"/>
        <item x="44"/>
        <item x="165"/>
        <item x="29"/>
        <item x="63"/>
        <item x="110"/>
        <item x="122"/>
        <item x="126"/>
        <item x="107"/>
        <item x="27"/>
        <item x="151"/>
        <item x="130"/>
        <item x="144"/>
        <item x="7"/>
        <item x="52"/>
        <item x="60"/>
        <item x="89"/>
        <item x="132"/>
        <item x="96"/>
        <item x="19"/>
        <item x="48"/>
        <item x="128"/>
        <item x="161"/>
        <item x="18"/>
        <item x="16"/>
        <item x="118"/>
        <item x="124"/>
        <item x="90"/>
        <item x="23"/>
        <item x="167"/>
        <item x="159"/>
        <item x="37"/>
        <item x="10"/>
        <item x="93"/>
        <item x="100"/>
        <item x="42"/>
        <item x="72"/>
        <item x="65"/>
        <item x="88"/>
        <item x="47"/>
        <item x="11"/>
        <item x="103"/>
        <item x="139"/>
        <item x="114"/>
        <item x="97"/>
        <item x="15"/>
        <item x="77"/>
        <item x="141"/>
        <item x="51"/>
        <item x="137"/>
        <item x="148"/>
        <item x="102"/>
        <item x="79"/>
        <item x="108"/>
        <item x="83"/>
        <item x="125"/>
        <item x="12"/>
        <item x="133"/>
        <item x="58"/>
        <item x="4"/>
        <item x="61"/>
        <item x="20"/>
        <item x="112"/>
        <item x="6"/>
        <item x="134"/>
        <item x="31"/>
        <item x="22"/>
        <item x="162"/>
        <item x="59"/>
        <item x="154"/>
        <item x="38"/>
        <item x="123"/>
        <item x="76"/>
        <item x="99"/>
        <item x="138"/>
        <item x="113"/>
        <item x="140"/>
        <item x="66"/>
        <item x="28"/>
        <item x="160"/>
        <item x="120"/>
        <item x="136"/>
        <item x="53"/>
        <item x="121"/>
        <item x="81"/>
        <item x="153"/>
        <item x="33"/>
        <item x="3"/>
        <item x="13"/>
        <item x="0"/>
        <item x="70"/>
        <item x="135"/>
        <item x="131"/>
        <item x="101"/>
        <item x="41"/>
        <item x="1"/>
        <item x="82"/>
        <item x="39"/>
        <item x="49"/>
        <item x="87"/>
        <item x="25"/>
        <item x="95"/>
        <item x="147"/>
        <item x="84"/>
        <item x="164"/>
        <item x="34"/>
        <item x="36"/>
        <item x="24"/>
        <item x="157"/>
        <item x="163"/>
        <item x="106"/>
        <item x="64"/>
        <item x="127"/>
        <item x="35"/>
        <item x="117"/>
        <item x="5"/>
        <item x="86"/>
        <item x="50"/>
        <item x="111"/>
        <item x="109"/>
        <item x="152"/>
        <item x="129"/>
        <item x="9"/>
        <item x="169"/>
        <item x="170"/>
        <item x="40"/>
        <item x="85"/>
        <item x="55"/>
        <item x="67"/>
        <item x="143"/>
        <item x="119"/>
        <item t="default"/>
      </items>
    </pivotField>
    <pivotField axis="axisRow" showAll="0">
      <items count="5">
        <item x="0"/>
        <item x="3"/>
        <item x="1"/>
        <item x="2"/>
        <item t="default"/>
      </items>
    </pivotField>
    <pivotField showAll="0"/>
    <pivotField showAll="0"/>
    <pivotField dataField="1" numFmtId="1" showAll="0"/>
    <pivotField numFmtId="1" showAll="0"/>
    <pivotField numFmtI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5">
    <i>
      <x/>
    </i>
    <i>
      <x v="1"/>
    </i>
    <i>
      <x v="2"/>
    </i>
    <i>
      <x v="3"/>
    </i>
    <i t="grand">
      <x/>
    </i>
  </rowItems>
  <colItems count="1">
    <i/>
  </colItems>
  <dataFields count="1">
    <dataField name="Sum of Sales" fld="5" baseField="0" baseItem="0" numFmtId="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02F1DD1-4073-462C-B55E-5E5BDDF1F5CC}" sourceName="Region">
  <pivotTables>
    <pivotTable tabId="3" name="PivotTable1"/>
    <pivotTable tabId="3" name="PivotTable2"/>
    <pivotTable tabId="3" name="PivotTable3"/>
  </pivotTables>
  <data>
    <tabular pivotCacheId="1509080331">
      <items count="4">
        <i x="0" s="1"/>
        <i x="3"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D8683575-3E62-43C9-AD35-5A3D44AFB3D3}" sourceName="Months (Order Date)">
  <pivotTables>
    <pivotTable tabId="3" name="PivotTable2"/>
    <pivotTable tabId="3" name="PivotTable3"/>
  </pivotTables>
  <data>
    <tabular pivotCacheId="1509080331">
      <items count="14">
        <i x="1" s="1"/>
        <i x="2" s="1"/>
        <i x="3" s="1"/>
        <i x="4" s="1"/>
        <i x="5" s="1"/>
        <i x="6" s="1"/>
        <i x="7" s="1"/>
        <i x="8" s="1"/>
        <i x="9" s="1"/>
        <i x="10" s="1"/>
        <i x="11" s="1"/>
        <i x="12" s="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8F2EF2C-1AD6-44C0-A699-BF79F57C47E6}" sourceName="Category">
  <pivotTables>
    <pivotTable tabId="3" name="PivotTable3"/>
    <pivotTable tabId="3" name="PivotTable2"/>
  </pivotTables>
  <data>
    <tabular pivotCacheId="150908033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687BA66-F3C4-4A9D-BFE5-46274791A9CA}" cache="Slicer_Region" caption="Region" style="Slicer Style 1" rowHeight="234950"/>
  <slicer name="Months (Order Date)" xr10:uid="{11D97409-85EB-470B-9FC4-88692BE02387}" cache="Slicer_Months__Order_Date" caption="Months (Order Date)" style="Slicer Style 1" rowHeight="234950"/>
  <slicer name="Category" xr10:uid="{5DE45102-658C-4C5F-86FE-512425116594}" cache="Slicer_Category" caption="Category"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22074-7F56-446A-ADA6-8091B901A4F3}">
  <dimension ref="A2:R15"/>
  <sheetViews>
    <sheetView workbookViewId="0">
      <selection activeCell="Q2" sqref="Q2:R6"/>
    </sheetView>
  </sheetViews>
  <sheetFormatPr defaultRowHeight="14.4" x14ac:dyDescent="0.3"/>
  <cols>
    <col min="1" max="1" width="12.5546875" bestFit="1" customWidth="1"/>
    <col min="2" max="2" width="11.6640625" bestFit="1" customWidth="1"/>
    <col min="9" max="9" width="12.5546875" bestFit="1" customWidth="1"/>
    <col min="10" max="10" width="11.6640625" bestFit="1" customWidth="1"/>
    <col min="17" max="17" width="13.109375" bestFit="1" customWidth="1"/>
    <col min="18" max="18" width="11.6640625" bestFit="1" customWidth="1"/>
  </cols>
  <sheetData>
    <row r="2" spans="1:18" x14ac:dyDescent="0.3">
      <c r="I2" s="4" t="s">
        <v>29</v>
      </c>
      <c r="J2" t="s">
        <v>31</v>
      </c>
      <c r="Q2" s="4" t="s">
        <v>29</v>
      </c>
      <c r="R2" t="s">
        <v>31</v>
      </c>
    </row>
    <row r="3" spans="1:18" x14ac:dyDescent="0.3">
      <c r="A3" s="4" t="s">
        <v>29</v>
      </c>
      <c r="B3" t="s">
        <v>31</v>
      </c>
      <c r="I3" s="5" t="s">
        <v>32</v>
      </c>
      <c r="J3" s="2">
        <v>30433.818105263166</v>
      </c>
      <c r="Q3" s="5" t="s">
        <v>11</v>
      </c>
      <c r="R3" s="2">
        <v>95566.405263157911</v>
      </c>
    </row>
    <row r="4" spans="1:18" x14ac:dyDescent="0.3">
      <c r="A4" s="5" t="s">
        <v>9</v>
      </c>
      <c r="B4" s="2">
        <v>90161.448105263131</v>
      </c>
      <c r="I4" s="5" t="s">
        <v>33</v>
      </c>
      <c r="J4" s="2">
        <v>17357.059999999998</v>
      </c>
      <c r="Q4" s="5" t="s">
        <v>16</v>
      </c>
      <c r="R4" s="2">
        <v>85734.849052631558</v>
      </c>
    </row>
    <row r="5" spans="1:18" x14ac:dyDescent="0.3">
      <c r="A5" s="5" t="s">
        <v>23</v>
      </c>
      <c r="B5" s="2">
        <v>79344.477157894726</v>
      </c>
      <c r="I5" s="5" t="s">
        <v>34</v>
      </c>
      <c r="J5" s="2">
        <v>23164.059999999998</v>
      </c>
      <c r="Q5" s="5" t="s">
        <v>20</v>
      </c>
      <c r="R5" s="2">
        <v>101386.55621052631</v>
      </c>
    </row>
    <row r="6" spans="1:18" x14ac:dyDescent="0.3">
      <c r="A6" s="5" t="s">
        <v>14</v>
      </c>
      <c r="B6" s="2">
        <v>63540.988105263154</v>
      </c>
      <c r="I6" s="5" t="s">
        <v>35</v>
      </c>
      <c r="J6" s="2">
        <v>26668.68905263158</v>
      </c>
      <c r="Q6" s="5" t="s">
        <v>30</v>
      </c>
      <c r="R6" s="2">
        <v>282687.81052631576</v>
      </c>
    </row>
    <row r="7" spans="1:18" x14ac:dyDescent="0.3">
      <c r="A7" s="5" t="s">
        <v>18</v>
      </c>
      <c r="B7" s="2">
        <v>49640.897157894738</v>
      </c>
      <c r="I7" s="5" t="s">
        <v>36</v>
      </c>
      <c r="J7" s="2">
        <v>21149.06</v>
      </c>
    </row>
    <row r="8" spans="1:18" x14ac:dyDescent="0.3">
      <c r="A8" s="5" t="s">
        <v>30</v>
      </c>
      <c r="B8" s="2">
        <v>282687.81052631576</v>
      </c>
      <c r="I8" s="5" t="s">
        <v>37</v>
      </c>
      <c r="J8" s="2">
        <v>16460.769052631578</v>
      </c>
    </row>
    <row r="9" spans="1:18" x14ac:dyDescent="0.3">
      <c r="I9" s="5" t="s">
        <v>38</v>
      </c>
      <c r="J9" s="2">
        <v>21279.328105263161</v>
      </c>
    </row>
    <row r="10" spans="1:18" x14ac:dyDescent="0.3">
      <c r="I10" s="5" t="s">
        <v>39</v>
      </c>
      <c r="J10" s="2">
        <v>27339.729052631585</v>
      </c>
    </row>
    <row r="11" spans="1:18" x14ac:dyDescent="0.3">
      <c r="I11" s="5" t="s">
        <v>40</v>
      </c>
      <c r="J11" s="2">
        <v>17258.289052631579</v>
      </c>
    </row>
    <row r="12" spans="1:18" x14ac:dyDescent="0.3">
      <c r="I12" s="5" t="s">
        <v>41</v>
      </c>
      <c r="J12" s="2">
        <v>34875.809052631579</v>
      </c>
    </row>
    <row r="13" spans="1:18" x14ac:dyDescent="0.3">
      <c r="I13" s="5" t="s">
        <v>42</v>
      </c>
      <c r="J13" s="2">
        <v>20283.439999999999</v>
      </c>
    </row>
    <row r="14" spans="1:18" x14ac:dyDescent="0.3">
      <c r="I14" s="5" t="s">
        <v>43</v>
      </c>
      <c r="J14" s="2">
        <v>26417.759052631583</v>
      </c>
    </row>
    <row r="15" spans="1:18" x14ac:dyDescent="0.3">
      <c r="I15" s="5" t="s">
        <v>30</v>
      </c>
      <c r="J15" s="2">
        <v>282687.81052631582</v>
      </c>
    </row>
  </sheetData>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C0EA7-3161-479E-B89B-E5E04D6952AA}">
  <dimension ref="A1:L201"/>
  <sheetViews>
    <sheetView topLeftCell="A175" workbookViewId="0">
      <selection sqref="A1:I201"/>
    </sheetView>
  </sheetViews>
  <sheetFormatPr defaultRowHeight="14.4" x14ac:dyDescent="0.3"/>
  <cols>
    <col min="6" max="6" width="11.5546875" bestFit="1" customWidth="1"/>
    <col min="7" max="8" width="13.6640625" bestFit="1" customWidth="1"/>
  </cols>
  <sheetData>
    <row r="1" spans="1:12" x14ac:dyDescent="0.3">
      <c r="A1" t="s">
        <v>0</v>
      </c>
      <c r="B1" t="s">
        <v>1</v>
      </c>
      <c r="C1" t="s">
        <v>2</v>
      </c>
      <c r="D1" t="s">
        <v>3</v>
      </c>
      <c r="E1" t="s">
        <v>4</v>
      </c>
      <c r="F1" t="s">
        <v>5</v>
      </c>
      <c r="G1" t="s">
        <v>6</v>
      </c>
      <c r="H1" t="s">
        <v>7</v>
      </c>
      <c r="I1" t="s">
        <v>8</v>
      </c>
    </row>
    <row r="2" spans="1:12" x14ac:dyDescent="0.3">
      <c r="A2">
        <v>18765</v>
      </c>
      <c r="B2" s="1">
        <v>45505</v>
      </c>
      <c r="C2" t="s">
        <v>9</v>
      </c>
      <c r="D2" t="s">
        <v>10</v>
      </c>
      <c r="E2" t="s">
        <v>11</v>
      </c>
      <c r="F2" s="2">
        <v>44.16</v>
      </c>
      <c r="G2" s="2">
        <v>11.24</v>
      </c>
      <c r="H2" s="2">
        <v>5</v>
      </c>
      <c r="I2" t="s">
        <v>12</v>
      </c>
      <c r="L2" s="2">
        <f>AVERAGE(F2:F201)</f>
        <v>1413.4390526315792</v>
      </c>
    </row>
    <row r="3" spans="1:12" x14ac:dyDescent="0.3">
      <c r="A3">
        <v>45709</v>
      </c>
      <c r="B3" s="1">
        <v>45528</v>
      </c>
      <c r="C3" t="s">
        <v>9</v>
      </c>
      <c r="D3" t="s">
        <v>13</v>
      </c>
      <c r="E3" t="s">
        <v>11</v>
      </c>
      <c r="F3" s="2">
        <v>4975.9399999999996</v>
      </c>
      <c r="G3" s="2">
        <v>1418.48</v>
      </c>
      <c r="H3" s="2">
        <v>10</v>
      </c>
      <c r="I3" t="s">
        <v>12</v>
      </c>
      <c r="L3" s="2">
        <f>AVERAGE(G2:G201)</f>
        <v>231.87431578947383</v>
      </c>
    </row>
    <row r="4" spans="1:12" x14ac:dyDescent="0.3">
      <c r="A4">
        <v>35289</v>
      </c>
      <c r="B4" s="1">
        <v>45040</v>
      </c>
      <c r="C4" t="s">
        <v>14</v>
      </c>
      <c r="D4" t="s">
        <v>13</v>
      </c>
      <c r="E4" t="s">
        <v>11</v>
      </c>
      <c r="F4" s="2">
        <v>2481.56</v>
      </c>
      <c r="G4" s="2">
        <v>620.08000000000004</v>
      </c>
      <c r="H4" s="2">
        <v>7</v>
      </c>
      <c r="I4" t="s">
        <v>12</v>
      </c>
      <c r="L4" s="2">
        <f>AVERAGE(H2:H201)</f>
        <v>5.5368421052631582</v>
      </c>
    </row>
    <row r="5" spans="1:12" x14ac:dyDescent="0.3">
      <c r="A5">
        <v>59363</v>
      </c>
      <c r="B5" s="1">
        <v>45498</v>
      </c>
      <c r="C5" t="s">
        <v>14</v>
      </c>
      <c r="D5" t="s">
        <v>15</v>
      </c>
      <c r="E5" t="s">
        <v>16</v>
      </c>
      <c r="F5" s="2">
        <v>51.39</v>
      </c>
      <c r="G5" s="2">
        <v>5.88</v>
      </c>
      <c r="H5" s="2">
        <v>1</v>
      </c>
      <c r="I5" t="s">
        <v>17</v>
      </c>
    </row>
    <row r="6" spans="1:12" x14ac:dyDescent="0.3">
      <c r="A6">
        <v>26352</v>
      </c>
      <c r="B6" s="1">
        <v>45374</v>
      </c>
      <c r="C6" t="s">
        <v>18</v>
      </c>
      <c r="D6" t="s">
        <v>19</v>
      </c>
      <c r="E6" t="s">
        <v>20</v>
      </c>
      <c r="F6" s="2">
        <v>865.7</v>
      </c>
      <c r="G6" s="2">
        <v>230.16</v>
      </c>
      <c r="H6" s="2">
        <v>5</v>
      </c>
      <c r="I6" t="s">
        <v>21</v>
      </c>
    </row>
    <row r="7" spans="1:12" x14ac:dyDescent="0.3">
      <c r="A7">
        <v>94234</v>
      </c>
      <c r="B7" s="1">
        <v>45623</v>
      </c>
      <c r="C7" t="s">
        <v>18</v>
      </c>
      <c r="D7" t="s">
        <v>22</v>
      </c>
      <c r="E7" t="s">
        <v>11</v>
      </c>
      <c r="F7" s="2">
        <v>1090.04</v>
      </c>
      <c r="G7" s="2">
        <v>125.14</v>
      </c>
      <c r="H7" s="2">
        <v>10</v>
      </c>
      <c r="I7" t="s">
        <v>17</v>
      </c>
    </row>
    <row r="8" spans="1:12" x14ac:dyDescent="0.3">
      <c r="A8">
        <v>40032</v>
      </c>
      <c r="B8" s="1">
        <v>45387</v>
      </c>
      <c r="C8" t="s">
        <v>18</v>
      </c>
      <c r="D8" t="s">
        <v>10</v>
      </c>
      <c r="E8" t="s">
        <v>11</v>
      </c>
      <c r="F8" s="2">
        <v>253.04</v>
      </c>
      <c r="G8" s="2">
        <v>19.010000000000002</v>
      </c>
      <c r="H8" s="2">
        <v>5.5368421052631582</v>
      </c>
      <c r="I8" t="s">
        <v>21</v>
      </c>
    </row>
    <row r="9" spans="1:12" x14ac:dyDescent="0.3">
      <c r="A9">
        <v>25658</v>
      </c>
      <c r="B9" s="1">
        <v>45212</v>
      </c>
      <c r="C9" t="s">
        <v>23</v>
      </c>
      <c r="D9" t="s">
        <v>13</v>
      </c>
      <c r="E9" t="s">
        <v>11</v>
      </c>
      <c r="F9" s="2">
        <v>4103.51</v>
      </c>
      <c r="G9" s="2">
        <v>995.13</v>
      </c>
      <c r="H9" s="2">
        <v>10</v>
      </c>
      <c r="I9" t="s">
        <v>17</v>
      </c>
    </row>
    <row r="10" spans="1:12" x14ac:dyDescent="0.3">
      <c r="A10">
        <v>49004</v>
      </c>
      <c r="B10" s="1">
        <v>45111</v>
      </c>
      <c r="C10" t="s">
        <v>14</v>
      </c>
      <c r="D10" t="s">
        <v>24</v>
      </c>
      <c r="E10" t="s">
        <v>16</v>
      </c>
      <c r="F10" s="2">
        <v>98.05</v>
      </c>
      <c r="G10" s="2">
        <v>20.37</v>
      </c>
      <c r="H10" s="2">
        <v>2</v>
      </c>
      <c r="I10" t="s">
        <v>17</v>
      </c>
    </row>
    <row r="11" spans="1:12" x14ac:dyDescent="0.3">
      <c r="A11">
        <v>94614</v>
      </c>
      <c r="B11" s="1">
        <v>45677</v>
      </c>
      <c r="C11" t="s">
        <v>18</v>
      </c>
      <c r="D11" t="s">
        <v>25</v>
      </c>
      <c r="E11" t="s">
        <v>20</v>
      </c>
      <c r="F11" s="2">
        <v>1413.4390526315788</v>
      </c>
      <c r="G11" s="2">
        <v>340.8</v>
      </c>
      <c r="H11" s="2">
        <v>3</v>
      </c>
      <c r="I11" t="s">
        <v>21</v>
      </c>
    </row>
    <row r="12" spans="1:12" x14ac:dyDescent="0.3">
      <c r="A12">
        <v>91734</v>
      </c>
      <c r="B12" s="1">
        <v>45276</v>
      </c>
      <c r="C12" t="s">
        <v>23</v>
      </c>
      <c r="D12" t="s">
        <v>25</v>
      </c>
      <c r="E12" t="s">
        <v>20</v>
      </c>
      <c r="F12" s="2">
        <v>452.16</v>
      </c>
      <c r="G12" s="2">
        <v>98.55</v>
      </c>
      <c r="H12" s="2">
        <v>1</v>
      </c>
      <c r="I12" t="s">
        <v>12</v>
      </c>
    </row>
    <row r="13" spans="1:12" x14ac:dyDescent="0.3">
      <c r="A13">
        <v>78529</v>
      </c>
      <c r="B13" s="1">
        <v>45299</v>
      </c>
      <c r="C13" t="s">
        <v>23</v>
      </c>
      <c r="D13" t="s">
        <v>10</v>
      </c>
      <c r="E13" t="s">
        <v>11</v>
      </c>
      <c r="F13" s="2">
        <v>270.76</v>
      </c>
      <c r="G13" s="2">
        <v>13.87</v>
      </c>
      <c r="H13" s="2">
        <v>7</v>
      </c>
      <c r="I13" t="s">
        <v>26</v>
      </c>
    </row>
    <row r="14" spans="1:12" x14ac:dyDescent="0.3">
      <c r="A14">
        <v>93219</v>
      </c>
      <c r="B14" s="1">
        <v>45362</v>
      </c>
      <c r="C14" t="s">
        <v>14</v>
      </c>
      <c r="D14" t="s">
        <v>15</v>
      </c>
      <c r="E14" t="s">
        <v>16</v>
      </c>
      <c r="F14" s="2">
        <v>476.17</v>
      </c>
      <c r="G14" s="2">
        <v>108.29</v>
      </c>
      <c r="H14" s="2">
        <v>1</v>
      </c>
      <c r="I14" t="s">
        <v>12</v>
      </c>
    </row>
    <row r="15" spans="1:12" x14ac:dyDescent="0.3">
      <c r="A15">
        <v>19073</v>
      </c>
      <c r="B15" s="1">
        <v>45501</v>
      </c>
      <c r="C15" t="s">
        <v>9</v>
      </c>
      <c r="D15" t="s">
        <v>27</v>
      </c>
      <c r="E15" t="s">
        <v>20</v>
      </c>
      <c r="F15" s="2">
        <v>1413.4390526315788</v>
      </c>
      <c r="G15" s="2">
        <v>78.319999999999993</v>
      </c>
      <c r="H15" s="2">
        <v>6</v>
      </c>
      <c r="I15" t="s">
        <v>12</v>
      </c>
    </row>
    <row r="16" spans="1:12" x14ac:dyDescent="0.3">
      <c r="A16">
        <v>31654</v>
      </c>
      <c r="B16" s="1">
        <v>45104</v>
      </c>
      <c r="C16" t="s">
        <v>18</v>
      </c>
      <c r="D16" t="s">
        <v>13</v>
      </c>
      <c r="E16" t="s">
        <v>11</v>
      </c>
      <c r="F16" s="2">
        <v>871.12</v>
      </c>
      <c r="G16" s="2">
        <v>128.52000000000001</v>
      </c>
      <c r="H16" s="2">
        <v>2</v>
      </c>
      <c r="I16" t="s">
        <v>12</v>
      </c>
    </row>
    <row r="17" spans="1:9" x14ac:dyDescent="0.3">
      <c r="A17">
        <v>28860</v>
      </c>
      <c r="B17" s="1">
        <v>45312</v>
      </c>
      <c r="C17" t="s">
        <v>9</v>
      </c>
      <c r="D17" t="s">
        <v>25</v>
      </c>
      <c r="E17" t="s">
        <v>20</v>
      </c>
      <c r="F17" s="2">
        <v>3986.07</v>
      </c>
      <c r="G17" s="2">
        <v>510.91</v>
      </c>
      <c r="H17" s="2">
        <v>8</v>
      </c>
      <c r="I17" t="s">
        <v>17</v>
      </c>
    </row>
    <row r="18" spans="1:9" x14ac:dyDescent="0.3">
      <c r="A18">
        <v>30927</v>
      </c>
      <c r="B18" s="1">
        <v>45238</v>
      </c>
      <c r="C18" t="s">
        <v>23</v>
      </c>
      <c r="D18" t="s">
        <v>25</v>
      </c>
      <c r="E18" t="s">
        <v>20</v>
      </c>
      <c r="F18" s="2">
        <v>506.27</v>
      </c>
      <c r="G18" s="2">
        <v>139.1</v>
      </c>
      <c r="H18" s="2">
        <v>2</v>
      </c>
      <c r="I18" t="s">
        <v>12</v>
      </c>
    </row>
    <row r="19" spans="1:9" x14ac:dyDescent="0.3">
      <c r="A19">
        <v>52475</v>
      </c>
      <c r="B19" s="1">
        <v>45114</v>
      </c>
      <c r="C19" t="s">
        <v>18</v>
      </c>
      <c r="D19" t="s">
        <v>25</v>
      </c>
      <c r="E19" t="s">
        <v>20</v>
      </c>
      <c r="F19" s="2">
        <v>3702.45</v>
      </c>
      <c r="G19" s="2">
        <v>231.87431578947385</v>
      </c>
      <c r="H19" s="2">
        <v>9</v>
      </c>
      <c r="I19" t="s">
        <v>26</v>
      </c>
    </row>
    <row r="20" spans="1:9" x14ac:dyDescent="0.3">
      <c r="A20">
        <v>73099</v>
      </c>
      <c r="B20" s="1">
        <v>45236</v>
      </c>
      <c r="C20" t="s">
        <v>23</v>
      </c>
      <c r="D20" t="s">
        <v>10</v>
      </c>
      <c r="E20" t="s">
        <v>11</v>
      </c>
      <c r="F20" s="2">
        <v>774.77</v>
      </c>
      <c r="G20" s="2">
        <v>43.64</v>
      </c>
      <c r="H20" s="2">
        <v>4</v>
      </c>
      <c r="I20" t="s">
        <v>21</v>
      </c>
    </row>
    <row r="21" spans="1:9" x14ac:dyDescent="0.3">
      <c r="A21">
        <v>38002</v>
      </c>
      <c r="B21" s="1">
        <v>45225</v>
      </c>
      <c r="C21" t="s">
        <v>23</v>
      </c>
      <c r="D21" t="s">
        <v>22</v>
      </c>
      <c r="E21" t="s">
        <v>11</v>
      </c>
      <c r="F21" s="2">
        <v>1413.4390526315788</v>
      </c>
      <c r="G21" s="2">
        <v>816.34</v>
      </c>
      <c r="H21" s="2">
        <v>8</v>
      </c>
      <c r="I21" t="s">
        <v>17</v>
      </c>
    </row>
    <row r="22" spans="1:9" x14ac:dyDescent="0.3">
      <c r="A22">
        <v>14897</v>
      </c>
      <c r="B22" s="1">
        <v>45379</v>
      </c>
      <c r="C22" t="s">
        <v>18</v>
      </c>
      <c r="D22" t="s">
        <v>22</v>
      </c>
      <c r="E22" t="s">
        <v>11</v>
      </c>
      <c r="F22" s="2">
        <v>787.7</v>
      </c>
      <c r="G22" s="2">
        <v>231.87431578947385</v>
      </c>
      <c r="H22" s="2">
        <v>10</v>
      </c>
      <c r="I22" t="s">
        <v>17</v>
      </c>
    </row>
    <row r="23" spans="1:9" x14ac:dyDescent="0.3">
      <c r="A23">
        <v>87583</v>
      </c>
      <c r="B23" s="1">
        <v>45146</v>
      </c>
      <c r="C23" t="s">
        <v>18</v>
      </c>
      <c r="D23" t="s">
        <v>13</v>
      </c>
      <c r="E23" t="s">
        <v>11</v>
      </c>
      <c r="F23" s="2">
        <v>1413.4390526315788</v>
      </c>
      <c r="G23" s="2">
        <v>226.55</v>
      </c>
      <c r="H23" s="2">
        <v>5</v>
      </c>
      <c r="I23" t="s">
        <v>12</v>
      </c>
    </row>
    <row r="24" spans="1:9" x14ac:dyDescent="0.3">
      <c r="A24">
        <v>75990</v>
      </c>
      <c r="B24" s="1">
        <v>45406</v>
      </c>
      <c r="C24" t="s">
        <v>9</v>
      </c>
      <c r="D24" t="s">
        <v>25</v>
      </c>
      <c r="E24" t="s">
        <v>20</v>
      </c>
      <c r="F24" s="2">
        <v>707.05</v>
      </c>
      <c r="G24" s="2">
        <v>104.27</v>
      </c>
      <c r="H24" s="2">
        <v>8</v>
      </c>
      <c r="I24" t="s">
        <v>21</v>
      </c>
    </row>
    <row r="25" spans="1:9" x14ac:dyDescent="0.3">
      <c r="A25">
        <v>31333</v>
      </c>
      <c r="B25" s="1">
        <v>45261</v>
      </c>
      <c r="C25" t="s">
        <v>9</v>
      </c>
      <c r="D25" t="s">
        <v>19</v>
      </c>
      <c r="E25" t="s">
        <v>20</v>
      </c>
      <c r="F25" s="2">
        <v>1413.4390526315788</v>
      </c>
      <c r="G25" s="2">
        <v>32.340000000000003</v>
      </c>
      <c r="H25" s="2">
        <v>2</v>
      </c>
      <c r="I25" t="s">
        <v>17</v>
      </c>
    </row>
    <row r="26" spans="1:9" x14ac:dyDescent="0.3">
      <c r="A26">
        <v>57851</v>
      </c>
      <c r="B26" s="1">
        <v>45574</v>
      </c>
      <c r="C26" t="s">
        <v>9</v>
      </c>
      <c r="D26" t="s">
        <v>10</v>
      </c>
      <c r="E26" t="s">
        <v>11</v>
      </c>
      <c r="F26" s="2">
        <v>3893.94</v>
      </c>
      <c r="G26" s="2">
        <v>678.96</v>
      </c>
      <c r="H26" s="2">
        <v>8</v>
      </c>
      <c r="I26" t="s">
        <v>21</v>
      </c>
    </row>
    <row r="27" spans="1:9" x14ac:dyDescent="0.3">
      <c r="A27">
        <v>26501</v>
      </c>
      <c r="B27" s="1">
        <v>45548</v>
      </c>
      <c r="C27" t="s">
        <v>14</v>
      </c>
      <c r="D27" t="s">
        <v>25</v>
      </c>
      <c r="E27" t="s">
        <v>20</v>
      </c>
      <c r="F27" s="2">
        <v>2686.79</v>
      </c>
      <c r="G27" s="2">
        <v>159.71</v>
      </c>
      <c r="H27" s="2">
        <v>7</v>
      </c>
      <c r="I27" t="s">
        <v>17</v>
      </c>
    </row>
    <row r="28" spans="1:9" x14ac:dyDescent="0.3">
      <c r="A28">
        <v>45649</v>
      </c>
      <c r="B28" s="1">
        <v>45128</v>
      </c>
      <c r="C28" t="s">
        <v>23</v>
      </c>
      <c r="D28" t="s">
        <v>15</v>
      </c>
      <c r="E28" t="s">
        <v>16</v>
      </c>
      <c r="F28" s="2">
        <v>906.95</v>
      </c>
      <c r="G28" s="2">
        <v>202.63</v>
      </c>
      <c r="H28" s="2">
        <v>2</v>
      </c>
      <c r="I28" t="s">
        <v>26</v>
      </c>
    </row>
    <row r="29" spans="1:9" x14ac:dyDescent="0.3">
      <c r="A29">
        <v>36863</v>
      </c>
      <c r="B29" s="1">
        <v>45194</v>
      </c>
      <c r="C29" t="s">
        <v>18</v>
      </c>
      <c r="D29" t="s">
        <v>24</v>
      </c>
      <c r="E29" t="s">
        <v>16</v>
      </c>
      <c r="F29" s="2">
        <v>803.19</v>
      </c>
      <c r="G29" s="2">
        <v>231.87431578947385</v>
      </c>
      <c r="H29" s="2">
        <v>5</v>
      </c>
      <c r="I29" t="s">
        <v>12</v>
      </c>
    </row>
    <row r="30" spans="1:9" x14ac:dyDescent="0.3">
      <c r="A30">
        <v>81383</v>
      </c>
      <c r="B30" s="1">
        <v>45452</v>
      </c>
      <c r="C30" t="s">
        <v>23</v>
      </c>
      <c r="D30" t="s">
        <v>27</v>
      </c>
      <c r="E30" t="s">
        <v>20</v>
      </c>
      <c r="F30" s="2">
        <v>1413.4390526315788</v>
      </c>
      <c r="G30" s="2">
        <v>200.21</v>
      </c>
      <c r="H30" s="2">
        <v>4</v>
      </c>
      <c r="I30" t="s">
        <v>17</v>
      </c>
    </row>
    <row r="31" spans="1:9" x14ac:dyDescent="0.3">
      <c r="A31">
        <v>43571</v>
      </c>
      <c r="B31" s="1">
        <v>45160</v>
      </c>
      <c r="C31" t="s">
        <v>9</v>
      </c>
      <c r="D31" t="s">
        <v>15</v>
      </c>
      <c r="E31" t="s">
        <v>16</v>
      </c>
      <c r="F31" s="2">
        <v>3219.23</v>
      </c>
      <c r="G31" s="2">
        <v>546.88</v>
      </c>
      <c r="H31" s="2">
        <v>9</v>
      </c>
      <c r="I31" t="s">
        <v>26</v>
      </c>
    </row>
    <row r="32" spans="1:9" x14ac:dyDescent="0.3">
      <c r="A32">
        <v>81205</v>
      </c>
      <c r="B32" s="1">
        <v>44975</v>
      </c>
      <c r="C32" t="s">
        <v>23</v>
      </c>
      <c r="D32" t="s">
        <v>19</v>
      </c>
      <c r="E32" t="s">
        <v>20</v>
      </c>
      <c r="F32" s="2">
        <v>2566.31</v>
      </c>
      <c r="G32" s="2">
        <v>573.11</v>
      </c>
      <c r="H32" s="2">
        <v>7</v>
      </c>
      <c r="I32" t="s">
        <v>21</v>
      </c>
    </row>
    <row r="33" spans="1:9" x14ac:dyDescent="0.3">
      <c r="A33">
        <v>45532</v>
      </c>
      <c r="B33" s="1">
        <v>45397</v>
      </c>
      <c r="C33" t="s">
        <v>14</v>
      </c>
      <c r="D33" t="s">
        <v>28</v>
      </c>
      <c r="E33" t="s">
        <v>16</v>
      </c>
      <c r="F33" s="2">
        <v>336.27</v>
      </c>
      <c r="G33" s="2">
        <v>89.87</v>
      </c>
      <c r="H33" s="2">
        <v>4</v>
      </c>
      <c r="I33" t="s">
        <v>17</v>
      </c>
    </row>
    <row r="34" spans="1:9" x14ac:dyDescent="0.3">
      <c r="A34">
        <v>13880</v>
      </c>
      <c r="B34" s="1">
        <v>45067</v>
      </c>
      <c r="C34" t="s">
        <v>14</v>
      </c>
      <c r="D34" t="s">
        <v>24</v>
      </c>
      <c r="E34" t="s">
        <v>16</v>
      </c>
      <c r="F34" s="2">
        <v>283.87</v>
      </c>
      <c r="G34" s="2">
        <v>33.67</v>
      </c>
      <c r="H34" s="2">
        <v>1</v>
      </c>
      <c r="I34" t="s">
        <v>26</v>
      </c>
    </row>
    <row r="35" spans="1:9" x14ac:dyDescent="0.3">
      <c r="A35">
        <v>92510</v>
      </c>
      <c r="B35" s="1">
        <v>45491</v>
      </c>
      <c r="C35" t="s">
        <v>23</v>
      </c>
      <c r="D35" t="s">
        <v>15</v>
      </c>
      <c r="E35" t="s">
        <v>16</v>
      </c>
      <c r="F35" s="2">
        <v>185.07</v>
      </c>
      <c r="G35" s="2">
        <v>51.36</v>
      </c>
      <c r="H35" s="2">
        <v>6</v>
      </c>
      <c r="I35" t="s">
        <v>12</v>
      </c>
    </row>
    <row r="36" spans="1:9" x14ac:dyDescent="0.3">
      <c r="A36">
        <v>11867</v>
      </c>
      <c r="B36" s="1">
        <v>45569</v>
      </c>
      <c r="C36" t="s">
        <v>18</v>
      </c>
      <c r="D36" t="s">
        <v>28</v>
      </c>
      <c r="E36" t="s">
        <v>16</v>
      </c>
      <c r="F36" s="2">
        <v>462.35</v>
      </c>
      <c r="G36" s="2">
        <v>37.659999999999997</v>
      </c>
      <c r="H36" s="2">
        <v>5.5368421052631582</v>
      </c>
      <c r="I36" t="s">
        <v>12</v>
      </c>
    </row>
    <row r="37" spans="1:9" x14ac:dyDescent="0.3">
      <c r="A37">
        <v>24684</v>
      </c>
      <c r="B37" s="1">
        <v>45612</v>
      </c>
      <c r="C37" t="s">
        <v>18</v>
      </c>
      <c r="D37" t="s">
        <v>27</v>
      </c>
      <c r="E37" t="s">
        <v>20</v>
      </c>
      <c r="F37" s="2">
        <v>3658.9</v>
      </c>
      <c r="G37" s="2">
        <v>470.86</v>
      </c>
      <c r="H37" s="2">
        <v>10</v>
      </c>
      <c r="I37" t="s">
        <v>17</v>
      </c>
    </row>
    <row r="38" spans="1:9" x14ac:dyDescent="0.3">
      <c r="A38">
        <v>41972</v>
      </c>
      <c r="B38" s="1">
        <v>45236</v>
      </c>
      <c r="C38" t="s">
        <v>23</v>
      </c>
      <c r="D38" t="s">
        <v>19</v>
      </c>
      <c r="E38" t="s">
        <v>20</v>
      </c>
      <c r="F38" s="2">
        <v>1596</v>
      </c>
      <c r="G38" s="2">
        <v>418.99</v>
      </c>
      <c r="H38" s="2">
        <v>5</v>
      </c>
      <c r="I38" t="s">
        <v>17</v>
      </c>
    </row>
    <row r="39" spans="1:9" x14ac:dyDescent="0.3">
      <c r="A39">
        <v>20875</v>
      </c>
      <c r="B39" s="1">
        <v>45572</v>
      </c>
      <c r="C39" t="s">
        <v>9</v>
      </c>
      <c r="D39" t="s">
        <v>28</v>
      </c>
      <c r="E39" t="s">
        <v>16</v>
      </c>
      <c r="F39" s="2">
        <v>1185.3</v>
      </c>
      <c r="G39" s="2">
        <v>263.04000000000002</v>
      </c>
      <c r="H39" s="2">
        <v>3</v>
      </c>
      <c r="I39" t="s">
        <v>26</v>
      </c>
    </row>
    <row r="40" spans="1:9" x14ac:dyDescent="0.3">
      <c r="A40">
        <v>39617</v>
      </c>
      <c r="B40" s="1">
        <v>45574</v>
      </c>
      <c r="C40" t="s">
        <v>14</v>
      </c>
      <c r="D40" t="s">
        <v>28</v>
      </c>
      <c r="E40" t="s">
        <v>16</v>
      </c>
      <c r="F40" s="2">
        <v>771.97</v>
      </c>
      <c r="G40" s="2">
        <v>76.19</v>
      </c>
      <c r="H40" s="2">
        <v>6</v>
      </c>
      <c r="I40" t="s">
        <v>21</v>
      </c>
    </row>
    <row r="41" spans="1:9" x14ac:dyDescent="0.3">
      <c r="A41">
        <v>15051</v>
      </c>
      <c r="B41" s="1">
        <v>45275</v>
      </c>
      <c r="C41" t="s">
        <v>14</v>
      </c>
      <c r="D41" t="s">
        <v>15</v>
      </c>
      <c r="E41" t="s">
        <v>16</v>
      </c>
      <c r="F41" s="2">
        <v>2085.81</v>
      </c>
      <c r="G41" s="2">
        <v>148.79</v>
      </c>
      <c r="H41" s="2">
        <v>9</v>
      </c>
      <c r="I41" t="s">
        <v>17</v>
      </c>
    </row>
    <row r="42" spans="1:9" x14ac:dyDescent="0.3">
      <c r="A42">
        <v>24542</v>
      </c>
      <c r="B42" s="1">
        <v>45414</v>
      </c>
      <c r="C42" t="s">
        <v>9</v>
      </c>
      <c r="D42" t="s">
        <v>24</v>
      </c>
      <c r="E42" t="s">
        <v>16</v>
      </c>
      <c r="F42" s="2">
        <v>212.76</v>
      </c>
      <c r="G42" s="2">
        <v>231.87431578947385</v>
      </c>
      <c r="H42" s="2">
        <v>5.5368421052631582</v>
      </c>
      <c r="I42" t="s">
        <v>12</v>
      </c>
    </row>
    <row r="43" spans="1:9" x14ac:dyDescent="0.3">
      <c r="A43">
        <v>87263</v>
      </c>
      <c r="B43" s="1">
        <v>45534</v>
      </c>
      <c r="C43" t="s">
        <v>23</v>
      </c>
      <c r="D43" t="s">
        <v>19</v>
      </c>
      <c r="E43" t="s">
        <v>20</v>
      </c>
      <c r="F43" s="2">
        <v>371.92</v>
      </c>
      <c r="G43" s="2">
        <v>65.72</v>
      </c>
      <c r="H43" s="2">
        <v>1</v>
      </c>
      <c r="I43" t="s">
        <v>12</v>
      </c>
    </row>
    <row r="44" spans="1:9" x14ac:dyDescent="0.3">
      <c r="A44">
        <v>38443</v>
      </c>
      <c r="B44" s="1">
        <v>45687</v>
      </c>
      <c r="C44" t="s">
        <v>9</v>
      </c>
      <c r="D44" t="s">
        <v>19</v>
      </c>
      <c r="E44" t="s">
        <v>20</v>
      </c>
      <c r="F44" s="2">
        <v>1862.96</v>
      </c>
      <c r="G44" s="2">
        <v>447.64</v>
      </c>
      <c r="H44" s="2">
        <v>4</v>
      </c>
      <c r="I44" t="s">
        <v>21</v>
      </c>
    </row>
    <row r="45" spans="1:9" x14ac:dyDescent="0.3">
      <c r="A45">
        <v>13061</v>
      </c>
      <c r="B45" s="1">
        <v>45527</v>
      </c>
      <c r="C45" t="s">
        <v>18</v>
      </c>
      <c r="D45" t="s">
        <v>22</v>
      </c>
      <c r="E45" t="s">
        <v>11</v>
      </c>
      <c r="F45" s="2">
        <v>1912.32</v>
      </c>
      <c r="G45" s="2">
        <v>236.03</v>
      </c>
      <c r="H45" s="2">
        <v>8</v>
      </c>
      <c r="I45" t="s">
        <v>26</v>
      </c>
    </row>
    <row r="46" spans="1:9" x14ac:dyDescent="0.3">
      <c r="A46">
        <v>77651</v>
      </c>
      <c r="B46" s="1">
        <v>45285</v>
      </c>
      <c r="C46" t="s">
        <v>23</v>
      </c>
      <c r="D46" t="s">
        <v>19</v>
      </c>
      <c r="E46" t="s">
        <v>20</v>
      </c>
      <c r="F46" s="2">
        <v>1917.54</v>
      </c>
      <c r="G46" s="2">
        <v>183.78</v>
      </c>
      <c r="H46" s="2">
        <v>5</v>
      </c>
      <c r="I46" t="s">
        <v>12</v>
      </c>
    </row>
    <row r="47" spans="1:9" x14ac:dyDescent="0.3">
      <c r="A47">
        <v>86052</v>
      </c>
      <c r="B47" s="1">
        <v>45069</v>
      </c>
      <c r="C47" t="s">
        <v>23</v>
      </c>
      <c r="D47" t="s">
        <v>15</v>
      </c>
      <c r="E47" t="s">
        <v>16</v>
      </c>
      <c r="F47" s="2">
        <v>1977.59</v>
      </c>
      <c r="G47" s="2">
        <v>422.1</v>
      </c>
      <c r="H47" s="2">
        <v>5</v>
      </c>
      <c r="I47" t="s">
        <v>12</v>
      </c>
    </row>
    <row r="48" spans="1:9" x14ac:dyDescent="0.3">
      <c r="A48">
        <v>58945</v>
      </c>
      <c r="B48" s="1">
        <v>45150</v>
      </c>
      <c r="C48" t="s">
        <v>23</v>
      </c>
      <c r="D48" t="s">
        <v>15</v>
      </c>
      <c r="E48" t="s">
        <v>16</v>
      </c>
      <c r="F48" s="2">
        <v>230.92</v>
      </c>
      <c r="G48" s="2">
        <v>51.02</v>
      </c>
      <c r="H48" s="2">
        <v>1</v>
      </c>
      <c r="I48" t="s">
        <v>26</v>
      </c>
    </row>
    <row r="49" spans="1:9" x14ac:dyDescent="0.3">
      <c r="A49">
        <v>80914</v>
      </c>
      <c r="B49" s="1">
        <v>45076</v>
      </c>
      <c r="C49" t="s">
        <v>23</v>
      </c>
      <c r="D49" t="s">
        <v>10</v>
      </c>
      <c r="E49" t="s">
        <v>11</v>
      </c>
      <c r="F49" s="2">
        <v>1529.27</v>
      </c>
      <c r="G49" s="2">
        <v>263.20999999999998</v>
      </c>
      <c r="H49" s="2">
        <v>8</v>
      </c>
      <c r="I49" t="s">
        <v>12</v>
      </c>
    </row>
    <row r="50" spans="1:9" x14ac:dyDescent="0.3">
      <c r="A50">
        <v>85094</v>
      </c>
      <c r="B50" s="1">
        <v>45036</v>
      </c>
      <c r="C50" t="s">
        <v>18</v>
      </c>
      <c r="D50" t="s">
        <v>24</v>
      </c>
      <c r="E50" t="s">
        <v>16</v>
      </c>
      <c r="F50" s="2">
        <v>3578.38</v>
      </c>
      <c r="G50" s="2">
        <v>376.68</v>
      </c>
      <c r="H50" s="2">
        <v>10</v>
      </c>
      <c r="I50" t="s">
        <v>26</v>
      </c>
    </row>
    <row r="51" spans="1:9" x14ac:dyDescent="0.3">
      <c r="A51">
        <v>34576</v>
      </c>
      <c r="B51" s="1">
        <v>45298</v>
      </c>
      <c r="C51" t="s">
        <v>9</v>
      </c>
      <c r="D51" t="s">
        <v>25</v>
      </c>
      <c r="E51" t="s">
        <v>20</v>
      </c>
      <c r="F51" s="2">
        <v>1075.52</v>
      </c>
      <c r="G51" s="2">
        <v>182.99</v>
      </c>
      <c r="H51" s="2">
        <v>3</v>
      </c>
      <c r="I51" t="s">
        <v>26</v>
      </c>
    </row>
    <row r="52" spans="1:9" x14ac:dyDescent="0.3">
      <c r="A52">
        <v>16215</v>
      </c>
      <c r="B52" s="1">
        <v>45227</v>
      </c>
      <c r="C52" t="s">
        <v>14</v>
      </c>
      <c r="D52" t="s">
        <v>15</v>
      </c>
      <c r="E52" t="s">
        <v>16</v>
      </c>
      <c r="F52" s="2">
        <v>3277.68</v>
      </c>
      <c r="G52" s="2">
        <v>596.79</v>
      </c>
      <c r="H52" s="2">
        <v>8</v>
      </c>
      <c r="I52" t="s">
        <v>17</v>
      </c>
    </row>
    <row r="53" spans="1:9" x14ac:dyDescent="0.3">
      <c r="A53">
        <v>50568</v>
      </c>
      <c r="B53" s="1">
        <v>45452</v>
      </c>
      <c r="C53" t="s">
        <v>18</v>
      </c>
      <c r="D53" t="s">
        <v>27</v>
      </c>
      <c r="E53" t="s">
        <v>20</v>
      </c>
      <c r="F53" s="2">
        <v>1010.73</v>
      </c>
      <c r="G53" s="2">
        <v>231.87431578947385</v>
      </c>
      <c r="H53" s="2">
        <v>4</v>
      </c>
      <c r="I53" t="s">
        <v>17</v>
      </c>
    </row>
    <row r="54" spans="1:9" x14ac:dyDescent="0.3">
      <c r="A54">
        <v>38625</v>
      </c>
      <c r="B54" s="1">
        <v>45536</v>
      </c>
      <c r="C54" t="s">
        <v>23</v>
      </c>
      <c r="D54" t="s">
        <v>10</v>
      </c>
      <c r="E54" t="s">
        <v>11</v>
      </c>
      <c r="F54" s="2">
        <v>4214.96</v>
      </c>
      <c r="G54" s="2">
        <v>685.24</v>
      </c>
      <c r="H54" s="2">
        <v>9</v>
      </c>
      <c r="I54" t="s">
        <v>12</v>
      </c>
    </row>
    <row r="55" spans="1:9" x14ac:dyDescent="0.3">
      <c r="A55">
        <v>90878</v>
      </c>
      <c r="B55" s="1">
        <v>45637</v>
      </c>
      <c r="C55" t="s">
        <v>18</v>
      </c>
      <c r="D55" t="s">
        <v>25</v>
      </c>
      <c r="E55" t="s">
        <v>20</v>
      </c>
      <c r="F55" s="2">
        <v>356.5</v>
      </c>
      <c r="G55" s="2">
        <v>84.7</v>
      </c>
      <c r="H55" s="2">
        <v>3</v>
      </c>
      <c r="I55" t="s">
        <v>21</v>
      </c>
    </row>
    <row r="56" spans="1:9" x14ac:dyDescent="0.3">
      <c r="A56">
        <v>46636</v>
      </c>
      <c r="B56" s="1">
        <v>45336</v>
      </c>
      <c r="C56" t="s">
        <v>9</v>
      </c>
      <c r="D56" t="s">
        <v>19</v>
      </c>
      <c r="E56" t="s">
        <v>20</v>
      </c>
      <c r="F56" s="2">
        <v>136.77000000000001</v>
      </c>
      <c r="G56" s="2">
        <v>34.49</v>
      </c>
      <c r="H56" s="2">
        <v>1</v>
      </c>
      <c r="I56" t="s">
        <v>21</v>
      </c>
    </row>
    <row r="57" spans="1:9" x14ac:dyDescent="0.3">
      <c r="A57">
        <v>81660</v>
      </c>
      <c r="B57" s="1">
        <v>45213</v>
      </c>
      <c r="C57" t="s">
        <v>18</v>
      </c>
      <c r="D57" t="s">
        <v>28</v>
      </c>
      <c r="E57" t="s">
        <v>16</v>
      </c>
      <c r="F57" s="2">
        <v>57.1</v>
      </c>
      <c r="G57" s="2">
        <v>9.18</v>
      </c>
      <c r="H57" s="2">
        <v>2</v>
      </c>
      <c r="I57" t="s">
        <v>26</v>
      </c>
    </row>
    <row r="58" spans="1:9" x14ac:dyDescent="0.3">
      <c r="A58">
        <v>44816</v>
      </c>
      <c r="B58" s="1">
        <v>45475</v>
      </c>
      <c r="C58" t="s">
        <v>9</v>
      </c>
      <c r="D58" t="s">
        <v>10</v>
      </c>
      <c r="E58" t="s">
        <v>11</v>
      </c>
      <c r="F58" s="2">
        <v>3598.12</v>
      </c>
      <c r="G58" s="2">
        <v>771.01</v>
      </c>
      <c r="H58" s="2">
        <v>9</v>
      </c>
      <c r="I58" t="s">
        <v>17</v>
      </c>
    </row>
    <row r="59" spans="1:9" x14ac:dyDescent="0.3">
      <c r="A59">
        <v>61747</v>
      </c>
      <c r="B59" s="1">
        <v>44986</v>
      </c>
      <c r="C59" t="s">
        <v>23</v>
      </c>
      <c r="D59" t="s">
        <v>24</v>
      </c>
      <c r="E59" t="s">
        <v>16</v>
      </c>
      <c r="F59" s="2">
        <v>4099.26</v>
      </c>
      <c r="G59" s="2">
        <v>1036.9000000000001</v>
      </c>
      <c r="H59" s="2">
        <v>9</v>
      </c>
      <c r="I59" t="s">
        <v>17</v>
      </c>
    </row>
    <row r="60" spans="1:9" x14ac:dyDescent="0.3">
      <c r="A60">
        <v>96828</v>
      </c>
      <c r="B60" s="1">
        <v>45697</v>
      </c>
      <c r="C60" t="s">
        <v>9</v>
      </c>
      <c r="D60" t="s">
        <v>25</v>
      </c>
      <c r="E60" t="s">
        <v>20</v>
      </c>
      <c r="F60" s="2">
        <v>839.53</v>
      </c>
      <c r="G60" s="2">
        <v>102.68</v>
      </c>
      <c r="H60" s="2">
        <v>4</v>
      </c>
      <c r="I60" t="s">
        <v>21</v>
      </c>
    </row>
    <row r="61" spans="1:9" x14ac:dyDescent="0.3">
      <c r="A61">
        <v>31328</v>
      </c>
      <c r="B61" s="1">
        <v>45062</v>
      </c>
      <c r="C61" t="s">
        <v>23</v>
      </c>
      <c r="D61" t="s">
        <v>24</v>
      </c>
      <c r="E61" t="s">
        <v>16</v>
      </c>
      <c r="F61" s="2">
        <v>1919.94</v>
      </c>
      <c r="G61" s="2">
        <v>345.52</v>
      </c>
      <c r="H61" s="2">
        <v>6</v>
      </c>
      <c r="I61" t="s">
        <v>12</v>
      </c>
    </row>
    <row r="62" spans="1:9" x14ac:dyDescent="0.3">
      <c r="A62">
        <v>32441</v>
      </c>
      <c r="B62" s="1">
        <v>44992</v>
      </c>
      <c r="C62" t="s">
        <v>23</v>
      </c>
      <c r="D62" t="s">
        <v>25</v>
      </c>
      <c r="E62" t="s">
        <v>20</v>
      </c>
      <c r="F62" s="2">
        <v>1418.79</v>
      </c>
      <c r="G62" s="2">
        <v>312.07</v>
      </c>
      <c r="H62" s="2">
        <v>4</v>
      </c>
      <c r="I62" t="s">
        <v>26</v>
      </c>
    </row>
    <row r="63" spans="1:9" x14ac:dyDescent="0.3">
      <c r="A63">
        <v>11510</v>
      </c>
      <c r="B63" s="1">
        <v>45371</v>
      </c>
      <c r="C63" t="s">
        <v>14</v>
      </c>
      <c r="D63" t="s">
        <v>10</v>
      </c>
      <c r="E63" t="s">
        <v>11</v>
      </c>
      <c r="F63" s="2">
        <v>393.35</v>
      </c>
      <c r="G63" s="2">
        <v>70.45</v>
      </c>
      <c r="H63" s="2">
        <v>3</v>
      </c>
      <c r="I63" t="s">
        <v>21</v>
      </c>
    </row>
    <row r="64" spans="1:9" x14ac:dyDescent="0.3">
      <c r="A64">
        <v>87603</v>
      </c>
      <c r="B64" s="1">
        <v>45409</v>
      </c>
      <c r="C64" t="s">
        <v>14</v>
      </c>
      <c r="D64" t="s">
        <v>24</v>
      </c>
      <c r="E64" t="s">
        <v>16</v>
      </c>
      <c r="F64" s="2">
        <v>1413.4390526315788</v>
      </c>
      <c r="G64" s="2">
        <v>137.27000000000001</v>
      </c>
      <c r="H64" s="2">
        <v>4</v>
      </c>
      <c r="I64" t="s">
        <v>21</v>
      </c>
    </row>
    <row r="65" spans="1:9" x14ac:dyDescent="0.3">
      <c r="A65">
        <v>74196</v>
      </c>
      <c r="B65" s="1">
        <v>45215</v>
      </c>
      <c r="C65" t="s">
        <v>23</v>
      </c>
      <c r="D65" t="s">
        <v>19</v>
      </c>
      <c r="E65" t="s">
        <v>20</v>
      </c>
      <c r="F65" s="2">
        <v>3112.93</v>
      </c>
      <c r="G65" s="2">
        <v>676.14</v>
      </c>
      <c r="H65" s="2">
        <v>7</v>
      </c>
      <c r="I65" t="s">
        <v>21</v>
      </c>
    </row>
    <row r="66" spans="1:9" x14ac:dyDescent="0.3">
      <c r="A66">
        <v>97797</v>
      </c>
      <c r="B66" s="1">
        <v>45378</v>
      </c>
      <c r="C66" t="s">
        <v>9</v>
      </c>
      <c r="D66" t="s">
        <v>10</v>
      </c>
      <c r="E66" t="s">
        <v>11</v>
      </c>
      <c r="F66" s="2">
        <v>963.2</v>
      </c>
      <c r="G66" s="2">
        <v>261.93</v>
      </c>
      <c r="H66" s="2">
        <v>3</v>
      </c>
      <c r="I66" t="s">
        <v>21</v>
      </c>
    </row>
    <row r="67" spans="1:9" x14ac:dyDescent="0.3">
      <c r="A67">
        <v>25206</v>
      </c>
      <c r="B67" s="1">
        <v>45362</v>
      </c>
      <c r="C67" t="s">
        <v>9</v>
      </c>
      <c r="D67" t="s">
        <v>15</v>
      </c>
      <c r="E67" t="s">
        <v>16</v>
      </c>
      <c r="F67" s="2">
        <v>1849.73</v>
      </c>
      <c r="G67" s="2">
        <v>231.87431578947385</v>
      </c>
      <c r="H67" s="2">
        <v>8</v>
      </c>
      <c r="I67" t="s">
        <v>17</v>
      </c>
    </row>
    <row r="68" spans="1:9" x14ac:dyDescent="0.3">
      <c r="A68">
        <v>53868</v>
      </c>
      <c r="B68" s="1">
        <v>45298</v>
      </c>
      <c r="C68" t="s">
        <v>18</v>
      </c>
      <c r="D68" t="s">
        <v>15</v>
      </c>
      <c r="E68" t="s">
        <v>16</v>
      </c>
      <c r="F68" s="2">
        <v>1486.32</v>
      </c>
      <c r="G68" s="2">
        <v>248.17</v>
      </c>
      <c r="H68" s="2">
        <v>10</v>
      </c>
      <c r="I68" t="s">
        <v>17</v>
      </c>
    </row>
    <row r="69" spans="1:9" x14ac:dyDescent="0.3">
      <c r="A69">
        <v>98485</v>
      </c>
      <c r="B69" s="1">
        <v>45212</v>
      </c>
      <c r="C69" t="s">
        <v>23</v>
      </c>
      <c r="D69" t="s">
        <v>10</v>
      </c>
      <c r="E69" t="s">
        <v>11</v>
      </c>
      <c r="F69" s="2">
        <v>48.14</v>
      </c>
      <c r="G69" s="2">
        <v>6.51</v>
      </c>
      <c r="H69" s="2">
        <v>1</v>
      </c>
      <c r="I69" t="s">
        <v>17</v>
      </c>
    </row>
    <row r="70" spans="1:9" x14ac:dyDescent="0.3">
      <c r="A70">
        <v>49562</v>
      </c>
      <c r="B70" s="1">
        <v>45106</v>
      </c>
      <c r="C70" t="s">
        <v>18</v>
      </c>
      <c r="D70" t="s">
        <v>15</v>
      </c>
      <c r="E70" t="s">
        <v>16</v>
      </c>
      <c r="F70" s="2">
        <v>12.19</v>
      </c>
      <c r="G70" s="2">
        <v>1.03</v>
      </c>
      <c r="H70" s="2">
        <v>1</v>
      </c>
      <c r="I70" t="s">
        <v>12</v>
      </c>
    </row>
    <row r="71" spans="1:9" x14ac:dyDescent="0.3">
      <c r="A71">
        <v>83037</v>
      </c>
      <c r="B71" s="1">
        <v>45163</v>
      </c>
      <c r="C71" t="s">
        <v>18</v>
      </c>
      <c r="D71" t="s">
        <v>19</v>
      </c>
      <c r="E71" t="s">
        <v>20</v>
      </c>
      <c r="F71" s="2">
        <v>142.53</v>
      </c>
      <c r="G71" s="2">
        <v>25.19</v>
      </c>
      <c r="H71" s="2">
        <v>6</v>
      </c>
      <c r="I71" t="s">
        <v>12</v>
      </c>
    </row>
    <row r="72" spans="1:9" x14ac:dyDescent="0.3">
      <c r="A72">
        <v>37456</v>
      </c>
      <c r="B72" s="1">
        <v>45592</v>
      </c>
      <c r="C72" t="s">
        <v>23</v>
      </c>
      <c r="D72" t="s">
        <v>25</v>
      </c>
      <c r="E72" t="s">
        <v>20</v>
      </c>
      <c r="F72" s="2">
        <v>1122.47</v>
      </c>
      <c r="G72" s="2">
        <v>90.4</v>
      </c>
      <c r="H72" s="2">
        <v>7</v>
      </c>
      <c r="I72" t="s">
        <v>17</v>
      </c>
    </row>
    <row r="73" spans="1:9" x14ac:dyDescent="0.3">
      <c r="A73">
        <v>39372</v>
      </c>
      <c r="B73" s="1">
        <v>45289</v>
      </c>
      <c r="C73" t="s">
        <v>9</v>
      </c>
      <c r="D73" t="s">
        <v>28</v>
      </c>
      <c r="E73" t="s">
        <v>16</v>
      </c>
      <c r="F73" s="2">
        <v>1430.67</v>
      </c>
      <c r="G73" s="2">
        <v>394.04</v>
      </c>
      <c r="H73" s="2">
        <v>9</v>
      </c>
      <c r="I73" t="s">
        <v>26</v>
      </c>
    </row>
    <row r="74" spans="1:9" x14ac:dyDescent="0.3">
      <c r="A74">
        <v>64293</v>
      </c>
      <c r="B74" s="1">
        <v>45450</v>
      </c>
      <c r="C74" t="s">
        <v>14</v>
      </c>
      <c r="D74" t="s">
        <v>22</v>
      </c>
      <c r="E74" t="s">
        <v>11</v>
      </c>
      <c r="F74" s="2">
        <v>1248.8599999999999</v>
      </c>
      <c r="G74" s="2">
        <v>166.75</v>
      </c>
      <c r="H74" s="2">
        <v>3</v>
      </c>
      <c r="I74" t="s">
        <v>12</v>
      </c>
    </row>
    <row r="75" spans="1:9" x14ac:dyDescent="0.3">
      <c r="A75">
        <v>79018</v>
      </c>
      <c r="B75" s="1">
        <v>45698</v>
      </c>
      <c r="C75" t="s">
        <v>23</v>
      </c>
      <c r="D75" t="s">
        <v>22</v>
      </c>
      <c r="E75" t="s">
        <v>11</v>
      </c>
      <c r="F75" s="2">
        <v>469.91</v>
      </c>
      <c r="G75" s="2">
        <v>89.74</v>
      </c>
      <c r="H75" s="2">
        <v>1</v>
      </c>
      <c r="I75" t="s">
        <v>21</v>
      </c>
    </row>
    <row r="76" spans="1:9" x14ac:dyDescent="0.3">
      <c r="A76">
        <v>41680</v>
      </c>
      <c r="B76" s="1">
        <v>45082</v>
      </c>
      <c r="C76" t="s">
        <v>18</v>
      </c>
      <c r="D76" t="s">
        <v>10</v>
      </c>
      <c r="E76" t="s">
        <v>11</v>
      </c>
      <c r="F76" s="2">
        <v>292.2</v>
      </c>
      <c r="G76" s="2">
        <v>22.49</v>
      </c>
      <c r="H76" s="2">
        <v>3</v>
      </c>
      <c r="I76" t="s">
        <v>21</v>
      </c>
    </row>
    <row r="77" spans="1:9" x14ac:dyDescent="0.3">
      <c r="A77">
        <v>92394</v>
      </c>
      <c r="B77" s="1">
        <v>45527</v>
      </c>
      <c r="C77" t="s">
        <v>18</v>
      </c>
      <c r="D77" t="s">
        <v>19</v>
      </c>
      <c r="E77" t="s">
        <v>20</v>
      </c>
      <c r="F77" s="2">
        <v>985.59</v>
      </c>
      <c r="G77" s="2">
        <v>97.38</v>
      </c>
      <c r="H77" s="2">
        <v>7</v>
      </c>
      <c r="I77" t="s">
        <v>12</v>
      </c>
    </row>
    <row r="78" spans="1:9" x14ac:dyDescent="0.3">
      <c r="A78">
        <v>58474</v>
      </c>
      <c r="B78" s="1">
        <v>45136</v>
      </c>
      <c r="C78" t="s">
        <v>18</v>
      </c>
      <c r="D78" t="s">
        <v>25</v>
      </c>
      <c r="E78" t="s">
        <v>20</v>
      </c>
      <c r="F78" s="2">
        <v>249.34</v>
      </c>
      <c r="G78" s="2">
        <v>59.23</v>
      </c>
      <c r="H78" s="2">
        <v>4</v>
      </c>
      <c r="I78" t="s">
        <v>26</v>
      </c>
    </row>
    <row r="79" spans="1:9" x14ac:dyDescent="0.3">
      <c r="A79">
        <v>43499</v>
      </c>
      <c r="B79" s="1">
        <v>45511</v>
      </c>
      <c r="C79" t="s">
        <v>14</v>
      </c>
      <c r="D79" t="s">
        <v>13</v>
      </c>
      <c r="E79" t="s">
        <v>11</v>
      </c>
      <c r="F79" s="2">
        <v>424.61</v>
      </c>
      <c r="G79" s="2">
        <v>98.42</v>
      </c>
      <c r="H79" s="2">
        <v>4</v>
      </c>
      <c r="I79" t="s">
        <v>21</v>
      </c>
    </row>
    <row r="80" spans="1:9" x14ac:dyDescent="0.3">
      <c r="A80">
        <v>90613</v>
      </c>
      <c r="B80" s="1">
        <v>45085</v>
      </c>
      <c r="C80" t="s">
        <v>9</v>
      </c>
      <c r="D80" t="s">
        <v>28</v>
      </c>
      <c r="E80" t="s">
        <v>16</v>
      </c>
      <c r="F80" s="2">
        <v>2079.5500000000002</v>
      </c>
      <c r="G80" s="2">
        <v>235.13</v>
      </c>
      <c r="H80" s="2">
        <v>9</v>
      </c>
      <c r="I80" t="s">
        <v>21</v>
      </c>
    </row>
    <row r="81" spans="1:9" x14ac:dyDescent="0.3">
      <c r="A81">
        <v>60407</v>
      </c>
      <c r="B81" s="1">
        <v>45287</v>
      </c>
      <c r="C81" t="s">
        <v>9</v>
      </c>
      <c r="D81" t="s">
        <v>25</v>
      </c>
      <c r="E81" t="s">
        <v>20</v>
      </c>
      <c r="F81" s="2">
        <v>1490.03</v>
      </c>
      <c r="G81" s="2">
        <v>402.43</v>
      </c>
      <c r="H81" s="2">
        <v>9</v>
      </c>
      <c r="I81" t="s">
        <v>12</v>
      </c>
    </row>
    <row r="82" spans="1:9" x14ac:dyDescent="0.3">
      <c r="A82">
        <v>45980</v>
      </c>
      <c r="B82" s="1">
        <v>45009</v>
      </c>
      <c r="C82" t="s">
        <v>14</v>
      </c>
      <c r="D82" t="s">
        <v>10</v>
      </c>
      <c r="E82" t="s">
        <v>11</v>
      </c>
      <c r="F82" s="2">
        <v>1076.74</v>
      </c>
      <c r="G82" s="2">
        <v>312.05</v>
      </c>
      <c r="H82" s="2">
        <v>5</v>
      </c>
      <c r="I82" t="s">
        <v>17</v>
      </c>
    </row>
    <row r="83" spans="1:9" x14ac:dyDescent="0.3">
      <c r="A83">
        <v>20445</v>
      </c>
      <c r="B83" s="1">
        <v>45063</v>
      </c>
      <c r="C83" t="s">
        <v>14</v>
      </c>
      <c r="D83" t="s">
        <v>28</v>
      </c>
      <c r="E83" t="s">
        <v>16</v>
      </c>
      <c r="F83" s="2">
        <v>1110.92</v>
      </c>
      <c r="G83" s="2">
        <v>182.31</v>
      </c>
      <c r="H83" s="2">
        <v>6</v>
      </c>
      <c r="I83" t="s">
        <v>17</v>
      </c>
    </row>
    <row r="84" spans="1:9" x14ac:dyDescent="0.3">
      <c r="A84">
        <v>21530</v>
      </c>
      <c r="B84" s="1">
        <v>45129</v>
      </c>
      <c r="C84" t="s">
        <v>18</v>
      </c>
      <c r="D84" t="s">
        <v>19</v>
      </c>
      <c r="E84" t="s">
        <v>20</v>
      </c>
      <c r="F84" s="2">
        <v>160.15</v>
      </c>
      <c r="G84" s="2">
        <v>8.61</v>
      </c>
      <c r="H84" s="2">
        <v>1</v>
      </c>
      <c r="I84" t="s">
        <v>17</v>
      </c>
    </row>
    <row r="85" spans="1:9" x14ac:dyDescent="0.3">
      <c r="A85">
        <v>55000</v>
      </c>
      <c r="B85" s="1">
        <v>45417</v>
      </c>
      <c r="C85" t="s">
        <v>23</v>
      </c>
      <c r="D85" t="s">
        <v>25</v>
      </c>
      <c r="E85" t="s">
        <v>20</v>
      </c>
      <c r="F85" s="2">
        <v>215.74</v>
      </c>
      <c r="G85" s="2">
        <v>231.87431578947385</v>
      </c>
      <c r="H85" s="2">
        <v>8</v>
      </c>
      <c r="I85" t="s">
        <v>17</v>
      </c>
    </row>
    <row r="86" spans="1:9" x14ac:dyDescent="0.3">
      <c r="A86">
        <v>29922</v>
      </c>
      <c r="B86" s="1">
        <v>45321</v>
      </c>
      <c r="C86" t="s">
        <v>18</v>
      </c>
      <c r="D86" t="s">
        <v>27</v>
      </c>
      <c r="E86" t="s">
        <v>20</v>
      </c>
      <c r="F86" s="2">
        <v>237.61</v>
      </c>
      <c r="G86" s="2">
        <v>18.579999999999998</v>
      </c>
      <c r="H86" s="2">
        <v>8</v>
      </c>
      <c r="I86" t="s">
        <v>21</v>
      </c>
    </row>
    <row r="87" spans="1:9" x14ac:dyDescent="0.3">
      <c r="A87">
        <v>87356</v>
      </c>
      <c r="B87" s="1">
        <v>45015</v>
      </c>
      <c r="C87" t="s">
        <v>14</v>
      </c>
      <c r="D87" t="s">
        <v>24</v>
      </c>
      <c r="E87" t="s">
        <v>16</v>
      </c>
      <c r="F87" s="2">
        <v>714.06</v>
      </c>
      <c r="G87" s="2">
        <v>40.18</v>
      </c>
      <c r="H87" s="2">
        <v>6</v>
      </c>
      <c r="I87" t="s">
        <v>12</v>
      </c>
    </row>
    <row r="88" spans="1:9" x14ac:dyDescent="0.3">
      <c r="A88">
        <v>97598</v>
      </c>
      <c r="B88" s="1">
        <v>45312</v>
      </c>
      <c r="C88" t="s">
        <v>14</v>
      </c>
      <c r="D88" t="s">
        <v>25</v>
      </c>
      <c r="E88" t="s">
        <v>20</v>
      </c>
      <c r="F88" s="2">
        <v>956.05</v>
      </c>
      <c r="G88" s="2">
        <v>212.64</v>
      </c>
      <c r="H88" s="2">
        <v>2</v>
      </c>
      <c r="I88" t="s">
        <v>17</v>
      </c>
    </row>
    <row r="89" spans="1:9" x14ac:dyDescent="0.3">
      <c r="A89">
        <v>58558</v>
      </c>
      <c r="B89" s="1">
        <v>45350</v>
      </c>
      <c r="C89" t="s">
        <v>18</v>
      </c>
      <c r="D89" t="s">
        <v>15</v>
      </c>
      <c r="E89" t="s">
        <v>16</v>
      </c>
      <c r="F89" s="2">
        <v>2128.29</v>
      </c>
      <c r="G89" s="2">
        <v>140.06</v>
      </c>
      <c r="H89" s="2">
        <v>8</v>
      </c>
      <c r="I89" t="s">
        <v>17</v>
      </c>
    </row>
    <row r="90" spans="1:9" x14ac:dyDescent="0.3">
      <c r="A90">
        <v>59130</v>
      </c>
      <c r="B90" s="1">
        <v>45238</v>
      </c>
      <c r="C90" t="s">
        <v>9</v>
      </c>
      <c r="D90" t="s">
        <v>13</v>
      </c>
      <c r="E90" t="s">
        <v>11</v>
      </c>
      <c r="F90" s="2">
        <v>118.65</v>
      </c>
      <c r="G90" s="2">
        <v>5.99</v>
      </c>
      <c r="H90" s="2">
        <v>2</v>
      </c>
      <c r="I90" t="s">
        <v>12</v>
      </c>
    </row>
    <row r="91" spans="1:9" x14ac:dyDescent="0.3">
      <c r="A91">
        <v>21834</v>
      </c>
      <c r="B91" s="1">
        <v>45035</v>
      </c>
      <c r="C91" t="s">
        <v>18</v>
      </c>
      <c r="D91" t="s">
        <v>15</v>
      </c>
      <c r="E91" t="s">
        <v>16</v>
      </c>
      <c r="F91" s="2">
        <v>44.92</v>
      </c>
      <c r="G91" s="2">
        <v>7.38</v>
      </c>
      <c r="H91" s="2">
        <v>4</v>
      </c>
      <c r="I91" t="s">
        <v>17</v>
      </c>
    </row>
    <row r="92" spans="1:9" x14ac:dyDescent="0.3">
      <c r="A92">
        <v>59179</v>
      </c>
      <c r="B92" s="1">
        <v>45484</v>
      </c>
      <c r="C92" t="s">
        <v>18</v>
      </c>
      <c r="D92" t="s">
        <v>10</v>
      </c>
      <c r="E92" t="s">
        <v>11</v>
      </c>
      <c r="F92" s="2">
        <v>719.36</v>
      </c>
      <c r="G92" s="2">
        <v>64.010000000000005</v>
      </c>
      <c r="H92" s="2">
        <v>8</v>
      </c>
      <c r="I92" t="s">
        <v>21</v>
      </c>
    </row>
    <row r="93" spans="1:9" x14ac:dyDescent="0.3">
      <c r="A93">
        <v>29033</v>
      </c>
      <c r="B93" s="1">
        <v>45533</v>
      </c>
      <c r="C93" t="s">
        <v>9</v>
      </c>
      <c r="D93" t="s">
        <v>28</v>
      </c>
      <c r="E93" t="s">
        <v>16</v>
      </c>
      <c r="F93" s="2">
        <v>1315.86</v>
      </c>
      <c r="G93" s="2">
        <v>70</v>
      </c>
      <c r="H93" s="2">
        <v>4</v>
      </c>
      <c r="I93" t="s">
        <v>17</v>
      </c>
    </row>
    <row r="94" spans="1:9" x14ac:dyDescent="0.3">
      <c r="A94">
        <v>88698</v>
      </c>
      <c r="B94" s="1">
        <v>45358</v>
      </c>
      <c r="C94" t="s">
        <v>18</v>
      </c>
      <c r="D94" t="s">
        <v>25</v>
      </c>
      <c r="E94" t="s">
        <v>20</v>
      </c>
      <c r="F94" s="2">
        <v>253.17</v>
      </c>
      <c r="G94" s="2">
        <v>69.489999999999995</v>
      </c>
      <c r="H94" s="2">
        <v>2</v>
      </c>
      <c r="I94" t="s">
        <v>26</v>
      </c>
    </row>
    <row r="95" spans="1:9" x14ac:dyDescent="0.3">
      <c r="A95">
        <v>48202</v>
      </c>
      <c r="B95" s="1">
        <v>45533</v>
      </c>
      <c r="C95" t="s">
        <v>14</v>
      </c>
      <c r="D95" t="s">
        <v>22</v>
      </c>
      <c r="E95" t="s">
        <v>11</v>
      </c>
      <c r="F95" s="2">
        <v>2272.73</v>
      </c>
      <c r="G95" s="2">
        <v>148.74</v>
      </c>
      <c r="H95" s="2">
        <v>8</v>
      </c>
      <c r="I95" t="s">
        <v>12</v>
      </c>
    </row>
    <row r="96" spans="1:9" x14ac:dyDescent="0.3">
      <c r="A96">
        <v>83243</v>
      </c>
      <c r="B96" s="1">
        <v>45559</v>
      </c>
      <c r="C96" t="s">
        <v>9</v>
      </c>
      <c r="D96" t="s">
        <v>24</v>
      </c>
      <c r="E96" t="s">
        <v>16</v>
      </c>
      <c r="F96" s="2">
        <v>152.65</v>
      </c>
      <c r="G96" s="2">
        <v>35.74</v>
      </c>
      <c r="H96" s="2">
        <v>2</v>
      </c>
      <c r="I96" t="s">
        <v>26</v>
      </c>
    </row>
    <row r="97" spans="1:9" x14ac:dyDescent="0.3">
      <c r="A97">
        <v>51512</v>
      </c>
      <c r="B97" s="1">
        <v>45692</v>
      </c>
      <c r="C97" t="s">
        <v>14</v>
      </c>
      <c r="D97" t="s">
        <v>13</v>
      </c>
      <c r="E97" t="s">
        <v>11</v>
      </c>
      <c r="F97" s="2">
        <v>1644.72</v>
      </c>
      <c r="G97" s="2">
        <v>456.03</v>
      </c>
      <c r="H97" s="2">
        <v>4</v>
      </c>
      <c r="I97" t="s">
        <v>17</v>
      </c>
    </row>
    <row r="98" spans="1:9" x14ac:dyDescent="0.3">
      <c r="A98">
        <v>37052</v>
      </c>
      <c r="B98" s="1">
        <v>45632</v>
      </c>
      <c r="C98" t="s">
        <v>23</v>
      </c>
      <c r="D98" t="s">
        <v>10</v>
      </c>
      <c r="E98" t="s">
        <v>11</v>
      </c>
      <c r="F98" s="2">
        <v>1848.29</v>
      </c>
      <c r="G98" s="2">
        <v>285.85000000000002</v>
      </c>
      <c r="H98" s="2">
        <v>9</v>
      </c>
      <c r="I98" t="s">
        <v>26</v>
      </c>
    </row>
    <row r="99" spans="1:9" x14ac:dyDescent="0.3">
      <c r="A99">
        <v>60788</v>
      </c>
      <c r="B99" s="1">
        <v>45544</v>
      </c>
      <c r="C99" t="s">
        <v>18</v>
      </c>
      <c r="D99" t="s">
        <v>13</v>
      </c>
      <c r="E99" t="s">
        <v>11</v>
      </c>
      <c r="F99" s="2">
        <v>1413.4390526315788</v>
      </c>
      <c r="G99" s="2">
        <v>130.28</v>
      </c>
      <c r="H99" s="2">
        <v>10</v>
      </c>
      <c r="I99" t="s">
        <v>21</v>
      </c>
    </row>
    <row r="100" spans="1:9" x14ac:dyDescent="0.3">
      <c r="A100">
        <v>45377</v>
      </c>
      <c r="B100" s="1">
        <v>45533</v>
      </c>
      <c r="C100" t="s">
        <v>9</v>
      </c>
      <c r="D100" t="s">
        <v>13</v>
      </c>
      <c r="E100" t="s">
        <v>11</v>
      </c>
      <c r="F100" s="2">
        <v>1680.42</v>
      </c>
      <c r="G100" s="2">
        <v>174.16</v>
      </c>
      <c r="H100" s="2">
        <v>4</v>
      </c>
      <c r="I100" t="s">
        <v>12</v>
      </c>
    </row>
    <row r="101" spans="1:9" x14ac:dyDescent="0.3">
      <c r="A101">
        <v>97999</v>
      </c>
      <c r="B101" s="1">
        <v>45291</v>
      </c>
      <c r="C101" t="s">
        <v>9</v>
      </c>
      <c r="D101" t="s">
        <v>19</v>
      </c>
      <c r="E101" t="s">
        <v>20</v>
      </c>
      <c r="F101" s="2">
        <v>4120.9799999999996</v>
      </c>
      <c r="G101" s="2">
        <v>334.52</v>
      </c>
      <c r="H101" s="2">
        <v>10</v>
      </c>
      <c r="I101" t="s">
        <v>17</v>
      </c>
    </row>
    <row r="102" spans="1:9" x14ac:dyDescent="0.3">
      <c r="A102">
        <v>22166</v>
      </c>
      <c r="B102" s="1">
        <v>45217</v>
      </c>
      <c r="C102" t="s">
        <v>14</v>
      </c>
      <c r="D102" t="s">
        <v>19</v>
      </c>
      <c r="E102" t="s">
        <v>20</v>
      </c>
      <c r="F102" s="2">
        <v>70.62</v>
      </c>
      <c r="G102" s="2">
        <v>16.989999999999998</v>
      </c>
      <c r="H102" s="2">
        <v>10</v>
      </c>
      <c r="I102" t="s">
        <v>12</v>
      </c>
    </row>
    <row r="103" spans="1:9" x14ac:dyDescent="0.3">
      <c r="A103">
        <v>97898</v>
      </c>
      <c r="B103" s="1">
        <v>45253</v>
      </c>
      <c r="C103" t="s">
        <v>14</v>
      </c>
      <c r="D103" t="s">
        <v>15</v>
      </c>
      <c r="E103" t="s">
        <v>16</v>
      </c>
      <c r="F103" s="2">
        <v>3591.61</v>
      </c>
      <c r="G103" s="2">
        <v>853.02</v>
      </c>
      <c r="H103" s="2">
        <v>8</v>
      </c>
      <c r="I103" t="s">
        <v>21</v>
      </c>
    </row>
    <row r="104" spans="1:9" x14ac:dyDescent="0.3">
      <c r="A104">
        <v>23167</v>
      </c>
      <c r="B104" s="1">
        <v>45291</v>
      </c>
      <c r="C104" t="s">
        <v>18</v>
      </c>
      <c r="D104" t="s">
        <v>28</v>
      </c>
      <c r="E104" t="s">
        <v>16</v>
      </c>
      <c r="F104" s="2">
        <v>949.84</v>
      </c>
      <c r="G104" s="2">
        <v>57.43</v>
      </c>
      <c r="H104" s="2">
        <v>6</v>
      </c>
      <c r="I104" t="s">
        <v>17</v>
      </c>
    </row>
    <row r="105" spans="1:9" x14ac:dyDescent="0.3">
      <c r="A105">
        <v>51834</v>
      </c>
      <c r="B105" s="1">
        <v>45092</v>
      </c>
      <c r="C105" t="s">
        <v>9</v>
      </c>
      <c r="D105" t="s">
        <v>28</v>
      </c>
      <c r="E105" t="s">
        <v>16</v>
      </c>
      <c r="F105" s="2">
        <v>3548.18</v>
      </c>
      <c r="G105" s="2">
        <v>812.92</v>
      </c>
      <c r="H105" s="2">
        <v>8</v>
      </c>
      <c r="I105" t="s">
        <v>12</v>
      </c>
    </row>
    <row r="106" spans="1:9" x14ac:dyDescent="0.3">
      <c r="A106">
        <v>51420</v>
      </c>
      <c r="B106" s="1">
        <v>45059</v>
      </c>
      <c r="C106" t="s">
        <v>23</v>
      </c>
      <c r="D106" t="s">
        <v>15</v>
      </c>
      <c r="E106" t="s">
        <v>16</v>
      </c>
      <c r="F106" s="2">
        <v>275.88</v>
      </c>
      <c r="G106" s="2">
        <v>15.52</v>
      </c>
      <c r="H106" s="2">
        <v>2</v>
      </c>
      <c r="I106" t="s">
        <v>17</v>
      </c>
    </row>
    <row r="107" spans="1:9" x14ac:dyDescent="0.3">
      <c r="A107">
        <v>16338</v>
      </c>
      <c r="B107" s="1">
        <v>45277</v>
      </c>
      <c r="C107" t="s">
        <v>18</v>
      </c>
      <c r="D107" t="s">
        <v>27</v>
      </c>
      <c r="E107" t="s">
        <v>20</v>
      </c>
      <c r="F107" s="2">
        <v>533.5</v>
      </c>
      <c r="G107" s="2">
        <v>140.41999999999999</v>
      </c>
      <c r="H107" s="2">
        <v>5.5368421052631582</v>
      </c>
      <c r="I107" t="s">
        <v>17</v>
      </c>
    </row>
    <row r="108" spans="1:9" x14ac:dyDescent="0.3">
      <c r="A108">
        <v>20583</v>
      </c>
      <c r="B108" s="1">
        <v>45065</v>
      </c>
      <c r="C108" t="s">
        <v>23</v>
      </c>
      <c r="D108" t="s">
        <v>24</v>
      </c>
      <c r="E108" t="s">
        <v>16</v>
      </c>
      <c r="F108" s="2">
        <v>2431.6999999999998</v>
      </c>
      <c r="G108" s="2">
        <v>174.5</v>
      </c>
      <c r="H108" s="2">
        <v>5</v>
      </c>
      <c r="I108" t="s">
        <v>21</v>
      </c>
    </row>
    <row r="109" spans="1:9" x14ac:dyDescent="0.3">
      <c r="A109">
        <v>58907</v>
      </c>
      <c r="B109" s="1">
        <v>45550</v>
      </c>
      <c r="C109" t="s">
        <v>23</v>
      </c>
      <c r="D109" t="s">
        <v>24</v>
      </c>
      <c r="E109" t="s">
        <v>16</v>
      </c>
      <c r="F109" s="2">
        <v>1640</v>
      </c>
      <c r="G109" s="2">
        <v>139.52000000000001</v>
      </c>
      <c r="H109" s="2">
        <v>8</v>
      </c>
      <c r="I109" t="s">
        <v>17</v>
      </c>
    </row>
    <row r="110" spans="1:9" x14ac:dyDescent="0.3">
      <c r="A110">
        <v>62730</v>
      </c>
      <c r="B110" s="1">
        <v>45222</v>
      </c>
      <c r="C110" t="s">
        <v>23</v>
      </c>
      <c r="D110" t="s">
        <v>19</v>
      </c>
      <c r="E110" t="s">
        <v>20</v>
      </c>
      <c r="F110" s="2">
        <v>676.95</v>
      </c>
      <c r="G110" s="2">
        <v>161.32</v>
      </c>
      <c r="H110" s="2">
        <v>4</v>
      </c>
      <c r="I110" t="s">
        <v>17</v>
      </c>
    </row>
    <row r="111" spans="1:9" x14ac:dyDescent="0.3">
      <c r="A111">
        <v>34168</v>
      </c>
      <c r="B111" s="1">
        <v>45311</v>
      </c>
      <c r="C111" t="s">
        <v>18</v>
      </c>
      <c r="D111" t="s">
        <v>25</v>
      </c>
      <c r="E111" t="s">
        <v>20</v>
      </c>
      <c r="F111" s="2">
        <v>2865.55</v>
      </c>
      <c r="G111" s="2">
        <v>187.96</v>
      </c>
      <c r="H111" s="2">
        <v>8</v>
      </c>
      <c r="I111" t="s">
        <v>21</v>
      </c>
    </row>
    <row r="112" spans="1:9" x14ac:dyDescent="0.3">
      <c r="A112">
        <v>75251</v>
      </c>
      <c r="B112" s="1">
        <v>45143</v>
      </c>
      <c r="C112" t="s">
        <v>23</v>
      </c>
      <c r="D112" t="s">
        <v>13</v>
      </c>
      <c r="E112" t="s">
        <v>11</v>
      </c>
      <c r="F112" s="2">
        <v>2127.0700000000002</v>
      </c>
      <c r="G112" s="2">
        <v>569.35</v>
      </c>
      <c r="H112" s="2">
        <v>9</v>
      </c>
      <c r="I112" t="s">
        <v>12</v>
      </c>
    </row>
    <row r="113" spans="1:9" x14ac:dyDescent="0.3">
      <c r="A113">
        <v>25515</v>
      </c>
      <c r="B113" s="1">
        <v>45040</v>
      </c>
      <c r="C113" t="s">
        <v>9</v>
      </c>
      <c r="D113" t="s">
        <v>27</v>
      </c>
      <c r="E113" t="s">
        <v>20</v>
      </c>
      <c r="F113" s="2">
        <v>4109.96</v>
      </c>
      <c r="G113" s="2">
        <v>1007.78</v>
      </c>
      <c r="H113" s="2">
        <v>9</v>
      </c>
      <c r="I113" t="s">
        <v>12</v>
      </c>
    </row>
    <row r="114" spans="1:9" x14ac:dyDescent="0.3">
      <c r="A114">
        <v>19543</v>
      </c>
      <c r="B114" s="1">
        <v>45428</v>
      </c>
      <c r="C114" t="s">
        <v>14</v>
      </c>
      <c r="D114" t="s">
        <v>10</v>
      </c>
      <c r="E114" t="s">
        <v>11</v>
      </c>
      <c r="F114" s="2">
        <v>1148.31</v>
      </c>
      <c r="G114" s="2">
        <v>308.58</v>
      </c>
      <c r="H114" s="2">
        <v>6</v>
      </c>
      <c r="I114" t="s">
        <v>26</v>
      </c>
    </row>
    <row r="115" spans="1:9" x14ac:dyDescent="0.3">
      <c r="A115">
        <v>62700</v>
      </c>
      <c r="B115" s="1">
        <v>45279</v>
      </c>
      <c r="C115" t="s">
        <v>14</v>
      </c>
      <c r="D115" t="s">
        <v>15</v>
      </c>
      <c r="E115" t="s">
        <v>16</v>
      </c>
      <c r="F115" s="2">
        <v>1279.21</v>
      </c>
      <c r="G115" s="2">
        <v>292.23</v>
      </c>
      <c r="H115" s="2">
        <v>8</v>
      </c>
      <c r="I115" t="s">
        <v>21</v>
      </c>
    </row>
    <row r="116" spans="1:9" x14ac:dyDescent="0.3">
      <c r="A116">
        <v>93893</v>
      </c>
      <c r="B116" s="1">
        <v>45523</v>
      </c>
      <c r="C116" t="s">
        <v>9</v>
      </c>
      <c r="D116" t="s">
        <v>27</v>
      </c>
      <c r="E116" t="s">
        <v>20</v>
      </c>
      <c r="F116" s="2">
        <v>1713.24</v>
      </c>
      <c r="G116" s="2">
        <v>108.56</v>
      </c>
      <c r="H116" s="2">
        <v>5</v>
      </c>
      <c r="I116" t="s">
        <v>12</v>
      </c>
    </row>
    <row r="117" spans="1:9" x14ac:dyDescent="0.3">
      <c r="A117">
        <v>25014</v>
      </c>
      <c r="B117" s="1">
        <v>45349</v>
      </c>
      <c r="C117" t="s">
        <v>9</v>
      </c>
      <c r="D117" t="s">
        <v>13</v>
      </c>
      <c r="E117" t="s">
        <v>11</v>
      </c>
      <c r="F117" s="2">
        <v>382.05</v>
      </c>
      <c r="G117" s="2">
        <v>231.87431578947385</v>
      </c>
      <c r="H117" s="2">
        <v>5</v>
      </c>
      <c r="I117" t="s">
        <v>12</v>
      </c>
    </row>
    <row r="118" spans="1:9" x14ac:dyDescent="0.3">
      <c r="A118">
        <v>81033</v>
      </c>
      <c r="B118" s="1">
        <v>45301</v>
      </c>
      <c r="C118" t="s">
        <v>9</v>
      </c>
      <c r="D118" t="s">
        <v>27</v>
      </c>
      <c r="E118" t="s">
        <v>20</v>
      </c>
      <c r="F118" s="2">
        <v>1916</v>
      </c>
      <c r="G118" s="2">
        <v>112.77</v>
      </c>
      <c r="H118" s="2">
        <v>4</v>
      </c>
      <c r="I118" t="s">
        <v>17</v>
      </c>
    </row>
    <row r="119" spans="1:9" x14ac:dyDescent="0.3">
      <c r="A119">
        <v>61255</v>
      </c>
      <c r="B119" s="1">
        <v>45103</v>
      </c>
      <c r="C119" t="s">
        <v>23</v>
      </c>
      <c r="D119" t="s">
        <v>25</v>
      </c>
      <c r="E119" t="s">
        <v>20</v>
      </c>
      <c r="F119" s="2">
        <v>2559.38</v>
      </c>
      <c r="G119" s="2">
        <v>243.12</v>
      </c>
      <c r="H119" s="2">
        <v>6</v>
      </c>
      <c r="I119" t="s">
        <v>17</v>
      </c>
    </row>
    <row r="120" spans="1:9" x14ac:dyDescent="0.3">
      <c r="A120">
        <v>16252</v>
      </c>
      <c r="B120" s="1">
        <v>45212</v>
      </c>
      <c r="C120" t="s">
        <v>23</v>
      </c>
      <c r="D120" t="s">
        <v>28</v>
      </c>
      <c r="E120" t="s">
        <v>16</v>
      </c>
      <c r="F120" s="2">
        <v>1713.81</v>
      </c>
      <c r="G120" s="2">
        <v>384.15</v>
      </c>
      <c r="H120" s="2">
        <v>9</v>
      </c>
      <c r="I120" t="s">
        <v>12</v>
      </c>
    </row>
    <row r="121" spans="1:9" x14ac:dyDescent="0.3">
      <c r="A121">
        <v>33638</v>
      </c>
      <c r="B121" s="1">
        <v>45057</v>
      </c>
      <c r="C121" t="s">
        <v>23</v>
      </c>
      <c r="D121" t="s">
        <v>15</v>
      </c>
      <c r="E121" t="s">
        <v>16</v>
      </c>
      <c r="F121" s="2">
        <v>831.61</v>
      </c>
      <c r="G121" s="2">
        <v>220.56</v>
      </c>
      <c r="H121" s="2">
        <v>8</v>
      </c>
      <c r="I121" t="s">
        <v>26</v>
      </c>
    </row>
    <row r="122" spans="1:9" x14ac:dyDescent="0.3">
      <c r="A122">
        <v>58854</v>
      </c>
      <c r="B122" s="1">
        <v>45222</v>
      </c>
      <c r="C122" t="s">
        <v>9</v>
      </c>
      <c r="D122" t="s">
        <v>28</v>
      </c>
      <c r="E122" t="s">
        <v>16</v>
      </c>
      <c r="F122" s="2">
        <v>2428.9</v>
      </c>
      <c r="G122" s="2">
        <v>167.87</v>
      </c>
      <c r="H122" s="2">
        <v>9</v>
      </c>
      <c r="I122" t="s">
        <v>26</v>
      </c>
    </row>
    <row r="123" spans="1:9" x14ac:dyDescent="0.3">
      <c r="A123">
        <v>20731</v>
      </c>
      <c r="B123" s="1">
        <v>45586</v>
      </c>
      <c r="C123" t="s">
        <v>23</v>
      </c>
      <c r="D123" t="s">
        <v>13</v>
      </c>
      <c r="E123" t="s">
        <v>11</v>
      </c>
      <c r="F123" s="2">
        <v>425.44</v>
      </c>
      <c r="G123" s="2">
        <v>123.64</v>
      </c>
      <c r="H123" s="2">
        <v>8</v>
      </c>
      <c r="I123" t="s">
        <v>26</v>
      </c>
    </row>
    <row r="124" spans="1:9" x14ac:dyDescent="0.3">
      <c r="A124">
        <v>71529</v>
      </c>
      <c r="B124" s="1">
        <v>45193</v>
      </c>
      <c r="C124" t="s">
        <v>23</v>
      </c>
      <c r="D124" t="s">
        <v>19</v>
      </c>
      <c r="E124" t="s">
        <v>20</v>
      </c>
      <c r="F124" s="2">
        <v>644.51</v>
      </c>
      <c r="G124" s="2">
        <v>163.68</v>
      </c>
      <c r="H124" s="2">
        <v>4</v>
      </c>
      <c r="I124" t="s">
        <v>12</v>
      </c>
    </row>
    <row r="125" spans="1:9" x14ac:dyDescent="0.3">
      <c r="A125">
        <v>98144</v>
      </c>
      <c r="B125" s="1">
        <v>45357</v>
      </c>
      <c r="C125" t="s">
        <v>14</v>
      </c>
      <c r="D125" t="s">
        <v>19</v>
      </c>
      <c r="E125" t="s">
        <v>20</v>
      </c>
      <c r="F125" s="2">
        <v>967.68</v>
      </c>
      <c r="G125" s="2">
        <v>74.400000000000006</v>
      </c>
      <c r="H125" s="2">
        <v>2</v>
      </c>
      <c r="I125" t="s">
        <v>26</v>
      </c>
    </row>
    <row r="126" spans="1:9" x14ac:dyDescent="0.3">
      <c r="A126">
        <v>61819</v>
      </c>
      <c r="B126" s="1">
        <v>45663</v>
      </c>
      <c r="C126" t="s">
        <v>23</v>
      </c>
      <c r="D126" t="s">
        <v>13</v>
      </c>
      <c r="E126" t="s">
        <v>11</v>
      </c>
      <c r="F126" s="2">
        <v>1413.4390526315788</v>
      </c>
      <c r="G126" s="2">
        <v>203.04</v>
      </c>
      <c r="H126" s="2">
        <v>5</v>
      </c>
      <c r="I126" t="s">
        <v>17</v>
      </c>
    </row>
    <row r="127" spans="1:9" x14ac:dyDescent="0.3">
      <c r="A127">
        <v>50260</v>
      </c>
      <c r="B127" s="1">
        <v>45501</v>
      </c>
      <c r="C127" t="s">
        <v>18</v>
      </c>
      <c r="D127" t="s">
        <v>28</v>
      </c>
      <c r="E127" t="s">
        <v>16</v>
      </c>
      <c r="F127" s="2">
        <v>967.54</v>
      </c>
      <c r="G127" s="2">
        <v>154.41999999999999</v>
      </c>
      <c r="H127" s="2">
        <v>3</v>
      </c>
      <c r="I127" t="s">
        <v>21</v>
      </c>
    </row>
    <row r="128" spans="1:9" x14ac:dyDescent="0.3">
      <c r="A128">
        <v>19379</v>
      </c>
      <c r="B128" s="1">
        <v>45175</v>
      </c>
      <c r="C128" t="s">
        <v>23</v>
      </c>
      <c r="D128" t="s">
        <v>15</v>
      </c>
      <c r="E128" t="s">
        <v>16</v>
      </c>
      <c r="F128" s="2">
        <v>1135.71</v>
      </c>
      <c r="G128" s="2">
        <v>215.05</v>
      </c>
      <c r="H128" s="2">
        <v>3</v>
      </c>
      <c r="I128" t="s">
        <v>26</v>
      </c>
    </row>
    <row r="129" spans="1:9" x14ac:dyDescent="0.3">
      <c r="A129">
        <v>78442</v>
      </c>
      <c r="B129" s="1">
        <v>45647</v>
      </c>
      <c r="C129" t="s">
        <v>9</v>
      </c>
      <c r="D129" t="s">
        <v>22</v>
      </c>
      <c r="E129" t="s">
        <v>11</v>
      </c>
      <c r="F129" s="2">
        <v>3178.48</v>
      </c>
      <c r="G129" s="2">
        <v>896.05</v>
      </c>
      <c r="H129" s="2">
        <v>10</v>
      </c>
      <c r="I129" t="s">
        <v>17</v>
      </c>
    </row>
    <row r="130" spans="1:9" x14ac:dyDescent="0.3">
      <c r="A130">
        <v>28518</v>
      </c>
      <c r="B130" s="1">
        <v>45384</v>
      </c>
      <c r="C130" t="s">
        <v>18</v>
      </c>
      <c r="D130" t="s">
        <v>10</v>
      </c>
      <c r="E130" t="s">
        <v>11</v>
      </c>
      <c r="F130" s="2">
        <v>2373.8000000000002</v>
      </c>
      <c r="G130" s="2">
        <v>131.08000000000001</v>
      </c>
      <c r="H130" s="2">
        <v>8</v>
      </c>
      <c r="I130" t="s">
        <v>17</v>
      </c>
    </row>
    <row r="131" spans="1:9" x14ac:dyDescent="0.3">
      <c r="A131">
        <v>52114</v>
      </c>
      <c r="B131" s="1">
        <v>45438</v>
      </c>
      <c r="C131" t="s">
        <v>18</v>
      </c>
      <c r="D131" t="s">
        <v>28</v>
      </c>
      <c r="E131" t="s">
        <v>16</v>
      </c>
      <c r="F131" s="2">
        <v>110.61</v>
      </c>
      <c r="G131" s="2">
        <v>7.84</v>
      </c>
      <c r="H131" s="2">
        <v>2</v>
      </c>
      <c r="I131" t="s">
        <v>12</v>
      </c>
    </row>
    <row r="132" spans="1:9" x14ac:dyDescent="0.3">
      <c r="A132">
        <v>99505</v>
      </c>
      <c r="B132" s="1">
        <v>45309</v>
      </c>
      <c r="C132" t="s">
        <v>14</v>
      </c>
      <c r="D132" t="s">
        <v>28</v>
      </c>
      <c r="E132" t="s">
        <v>16</v>
      </c>
      <c r="F132" s="2">
        <v>2056.06</v>
      </c>
      <c r="G132" s="2">
        <v>459.5</v>
      </c>
      <c r="H132" s="2">
        <v>6</v>
      </c>
      <c r="I132" t="s">
        <v>26</v>
      </c>
    </row>
    <row r="133" spans="1:9" x14ac:dyDescent="0.3">
      <c r="A133">
        <v>64625</v>
      </c>
      <c r="B133" s="1">
        <v>45064</v>
      </c>
      <c r="C133" t="s">
        <v>14</v>
      </c>
      <c r="D133" t="s">
        <v>24</v>
      </c>
      <c r="E133" t="s">
        <v>16</v>
      </c>
      <c r="F133" s="2">
        <v>1100.32</v>
      </c>
      <c r="G133" s="2">
        <v>281.62</v>
      </c>
      <c r="H133" s="2">
        <v>10</v>
      </c>
      <c r="I133" t="s">
        <v>17</v>
      </c>
    </row>
    <row r="134" spans="1:9" x14ac:dyDescent="0.3">
      <c r="A134">
        <v>39746</v>
      </c>
      <c r="B134" s="1">
        <v>45075</v>
      </c>
      <c r="C134" t="s">
        <v>23</v>
      </c>
      <c r="D134" t="s">
        <v>25</v>
      </c>
      <c r="E134" t="s">
        <v>20</v>
      </c>
      <c r="F134" s="2">
        <v>2274.27</v>
      </c>
      <c r="G134" s="2">
        <v>129.41</v>
      </c>
      <c r="H134" s="2">
        <v>7</v>
      </c>
      <c r="I134" t="s">
        <v>26</v>
      </c>
    </row>
    <row r="135" spans="1:9" x14ac:dyDescent="0.3">
      <c r="A135">
        <v>96181</v>
      </c>
      <c r="B135" s="1">
        <v>45618</v>
      </c>
      <c r="C135" t="s">
        <v>9</v>
      </c>
      <c r="D135" t="s">
        <v>27</v>
      </c>
      <c r="E135" t="s">
        <v>20</v>
      </c>
      <c r="F135" s="2">
        <v>2306.13</v>
      </c>
      <c r="G135" s="2">
        <v>280.3</v>
      </c>
      <c r="H135" s="2">
        <v>5</v>
      </c>
      <c r="I135" t="s">
        <v>12</v>
      </c>
    </row>
    <row r="136" spans="1:9" x14ac:dyDescent="0.3">
      <c r="A136">
        <v>48842</v>
      </c>
      <c r="B136" s="1">
        <v>45241</v>
      </c>
      <c r="C136" t="s">
        <v>14</v>
      </c>
      <c r="D136" t="s">
        <v>28</v>
      </c>
      <c r="E136" t="s">
        <v>16</v>
      </c>
      <c r="F136" s="2">
        <v>1115.3399999999999</v>
      </c>
      <c r="G136" s="2">
        <v>171.74</v>
      </c>
      <c r="H136" s="2">
        <v>4</v>
      </c>
      <c r="I136" t="s">
        <v>17</v>
      </c>
    </row>
    <row r="137" spans="1:9" x14ac:dyDescent="0.3">
      <c r="A137">
        <v>53655</v>
      </c>
      <c r="B137" s="1">
        <v>45702</v>
      </c>
      <c r="C137" t="s">
        <v>23</v>
      </c>
      <c r="D137" t="s">
        <v>10</v>
      </c>
      <c r="E137" t="s">
        <v>11</v>
      </c>
      <c r="F137" s="2">
        <v>422.19</v>
      </c>
      <c r="G137" s="2">
        <v>43.43</v>
      </c>
      <c r="H137" s="2">
        <v>5</v>
      </c>
      <c r="I137" t="s">
        <v>12</v>
      </c>
    </row>
    <row r="138" spans="1:9" x14ac:dyDescent="0.3">
      <c r="A138">
        <v>72100</v>
      </c>
      <c r="B138" s="1">
        <v>45456</v>
      </c>
      <c r="C138" t="s">
        <v>14</v>
      </c>
      <c r="D138" t="s">
        <v>15</v>
      </c>
      <c r="E138" t="s">
        <v>16</v>
      </c>
      <c r="F138" s="2">
        <v>64.56</v>
      </c>
      <c r="G138" s="2">
        <v>14.92</v>
      </c>
      <c r="H138" s="2">
        <v>1</v>
      </c>
      <c r="I138" t="s">
        <v>26</v>
      </c>
    </row>
    <row r="139" spans="1:9" x14ac:dyDescent="0.3">
      <c r="A139">
        <v>54650</v>
      </c>
      <c r="B139" s="1">
        <v>45285</v>
      </c>
      <c r="C139" t="s">
        <v>14</v>
      </c>
      <c r="D139" t="s">
        <v>22</v>
      </c>
      <c r="E139" t="s">
        <v>11</v>
      </c>
      <c r="F139" s="2">
        <v>3502.83</v>
      </c>
      <c r="G139" s="2">
        <v>498.41</v>
      </c>
      <c r="H139" s="2">
        <v>9</v>
      </c>
      <c r="I139" t="s">
        <v>26</v>
      </c>
    </row>
    <row r="140" spans="1:9" x14ac:dyDescent="0.3">
      <c r="A140">
        <v>34471</v>
      </c>
      <c r="B140" s="1">
        <v>45479</v>
      </c>
      <c r="C140" t="s">
        <v>9</v>
      </c>
      <c r="D140" t="s">
        <v>13</v>
      </c>
      <c r="E140" t="s">
        <v>11</v>
      </c>
      <c r="F140" s="2">
        <v>3116.43</v>
      </c>
      <c r="G140" s="2">
        <v>223.37</v>
      </c>
      <c r="H140" s="2">
        <v>8</v>
      </c>
      <c r="I140" t="s">
        <v>17</v>
      </c>
    </row>
    <row r="141" spans="1:9" x14ac:dyDescent="0.3">
      <c r="A141">
        <v>28129</v>
      </c>
      <c r="B141" s="1">
        <v>45180</v>
      </c>
      <c r="C141" t="s">
        <v>9</v>
      </c>
      <c r="D141" t="s">
        <v>28</v>
      </c>
      <c r="E141" t="s">
        <v>16</v>
      </c>
      <c r="F141" s="2">
        <v>726.51</v>
      </c>
      <c r="G141" s="2">
        <v>188.74</v>
      </c>
      <c r="H141" s="2">
        <v>2</v>
      </c>
      <c r="I141" t="s">
        <v>26</v>
      </c>
    </row>
    <row r="142" spans="1:9" x14ac:dyDescent="0.3">
      <c r="A142">
        <v>12495</v>
      </c>
      <c r="B142" s="1">
        <v>45415</v>
      </c>
      <c r="C142" t="s">
        <v>9</v>
      </c>
      <c r="D142" t="s">
        <v>24</v>
      </c>
      <c r="E142" t="s">
        <v>16</v>
      </c>
      <c r="F142" s="2">
        <v>441.68</v>
      </c>
      <c r="G142" s="2">
        <v>111.28</v>
      </c>
      <c r="H142" s="2">
        <v>1</v>
      </c>
      <c r="I142" t="s">
        <v>21</v>
      </c>
    </row>
    <row r="143" spans="1:9" x14ac:dyDescent="0.3">
      <c r="A143">
        <v>77616</v>
      </c>
      <c r="B143" s="1">
        <v>45243</v>
      </c>
      <c r="C143" t="s">
        <v>9</v>
      </c>
      <c r="D143" t="s">
        <v>24</v>
      </c>
      <c r="E143" t="s">
        <v>16</v>
      </c>
      <c r="F143" s="2">
        <v>455.11</v>
      </c>
      <c r="G143" s="2">
        <v>98.77</v>
      </c>
      <c r="H143" s="2">
        <v>8</v>
      </c>
      <c r="I143" t="s">
        <v>17</v>
      </c>
    </row>
    <row r="144" spans="1:9" x14ac:dyDescent="0.3">
      <c r="A144">
        <v>57433</v>
      </c>
      <c r="B144" s="1">
        <v>45285</v>
      </c>
      <c r="C144" t="s">
        <v>18</v>
      </c>
      <c r="D144" t="s">
        <v>22</v>
      </c>
      <c r="E144" t="s">
        <v>11</v>
      </c>
      <c r="F144" s="2">
        <v>338.47</v>
      </c>
      <c r="G144" s="2">
        <v>59.2</v>
      </c>
      <c r="H144" s="2">
        <v>1</v>
      </c>
      <c r="I144" t="s">
        <v>17</v>
      </c>
    </row>
    <row r="145" spans="1:9" x14ac:dyDescent="0.3">
      <c r="A145">
        <v>66388</v>
      </c>
      <c r="B145" s="1">
        <v>45359</v>
      </c>
      <c r="C145" t="s">
        <v>9</v>
      </c>
      <c r="D145" t="s">
        <v>22</v>
      </c>
      <c r="E145" t="s">
        <v>11</v>
      </c>
      <c r="F145" s="2">
        <v>956.38</v>
      </c>
      <c r="G145" s="2">
        <v>109.96</v>
      </c>
      <c r="H145" s="2">
        <v>6</v>
      </c>
      <c r="I145" t="s">
        <v>26</v>
      </c>
    </row>
    <row r="146" spans="1:9" x14ac:dyDescent="0.3">
      <c r="A146">
        <v>79195</v>
      </c>
      <c r="B146" s="1">
        <v>45189</v>
      </c>
      <c r="C146" t="s">
        <v>18</v>
      </c>
      <c r="D146" t="s">
        <v>15</v>
      </c>
      <c r="E146" t="s">
        <v>16</v>
      </c>
      <c r="F146" s="2">
        <v>188.85</v>
      </c>
      <c r="G146" s="2">
        <v>46.82</v>
      </c>
      <c r="H146" s="2">
        <v>8</v>
      </c>
      <c r="I146" t="s">
        <v>21</v>
      </c>
    </row>
    <row r="147" spans="1:9" x14ac:dyDescent="0.3">
      <c r="A147">
        <v>10669</v>
      </c>
      <c r="B147" s="1">
        <v>45611</v>
      </c>
      <c r="C147" t="s">
        <v>14</v>
      </c>
      <c r="D147" t="s">
        <v>24</v>
      </c>
      <c r="E147" t="s">
        <v>16</v>
      </c>
      <c r="F147" s="2">
        <v>3132.6</v>
      </c>
      <c r="G147" s="2">
        <v>404.4</v>
      </c>
      <c r="H147" s="2">
        <v>10</v>
      </c>
      <c r="I147" t="s">
        <v>17</v>
      </c>
    </row>
    <row r="148" spans="1:9" x14ac:dyDescent="0.3">
      <c r="A148">
        <v>31397</v>
      </c>
      <c r="B148" s="1">
        <v>45231</v>
      </c>
      <c r="C148" t="s">
        <v>18</v>
      </c>
      <c r="D148" t="s">
        <v>28</v>
      </c>
      <c r="E148" t="s">
        <v>16</v>
      </c>
      <c r="F148" s="2">
        <v>739.13</v>
      </c>
      <c r="G148" s="2">
        <v>155.76</v>
      </c>
      <c r="H148" s="2">
        <v>3</v>
      </c>
      <c r="I148" t="s">
        <v>26</v>
      </c>
    </row>
    <row r="149" spans="1:9" x14ac:dyDescent="0.3">
      <c r="A149">
        <v>10303</v>
      </c>
      <c r="B149" s="1">
        <v>45129</v>
      </c>
      <c r="C149" t="s">
        <v>14</v>
      </c>
      <c r="D149" t="s">
        <v>22</v>
      </c>
      <c r="E149" t="s">
        <v>11</v>
      </c>
      <c r="F149" s="2">
        <v>670.19</v>
      </c>
      <c r="G149" s="2">
        <v>88.97</v>
      </c>
      <c r="H149" s="2">
        <v>3</v>
      </c>
      <c r="I149" t="s">
        <v>12</v>
      </c>
    </row>
    <row r="150" spans="1:9" x14ac:dyDescent="0.3">
      <c r="A150">
        <v>28554</v>
      </c>
      <c r="B150" s="1">
        <v>45667</v>
      </c>
      <c r="C150" t="s">
        <v>23</v>
      </c>
      <c r="D150" t="s">
        <v>15</v>
      </c>
      <c r="E150" t="s">
        <v>16</v>
      </c>
      <c r="F150" s="2">
        <v>1660.62</v>
      </c>
      <c r="G150" s="2">
        <v>327.44</v>
      </c>
      <c r="H150" s="2">
        <v>4</v>
      </c>
      <c r="I150" t="s">
        <v>26</v>
      </c>
    </row>
    <row r="151" spans="1:9" x14ac:dyDescent="0.3">
      <c r="A151">
        <v>86414</v>
      </c>
      <c r="B151" s="1">
        <v>45201</v>
      </c>
      <c r="C151" t="s">
        <v>18</v>
      </c>
      <c r="D151" t="s">
        <v>10</v>
      </c>
      <c r="E151" t="s">
        <v>11</v>
      </c>
      <c r="F151" s="2">
        <v>176.93</v>
      </c>
      <c r="G151" s="2">
        <v>18.63</v>
      </c>
      <c r="H151" s="2">
        <v>9</v>
      </c>
      <c r="I151" t="s">
        <v>26</v>
      </c>
    </row>
    <row r="152" spans="1:9" x14ac:dyDescent="0.3">
      <c r="A152">
        <v>50324</v>
      </c>
      <c r="B152" s="1">
        <v>45519</v>
      </c>
      <c r="C152" t="s">
        <v>14</v>
      </c>
      <c r="D152" t="s">
        <v>10</v>
      </c>
      <c r="E152" t="s">
        <v>11</v>
      </c>
      <c r="F152" s="2">
        <v>3611.04</v>
      </c>
      <c r="G152" s="2">
        <v>552.15</v>
      </c>
      <c r="H152" s="2">
        <v>9</v>
      </c>
      <c r="I152" t="s">
        <v>17</v>
      </c>
    </row>
    <row r="153" spans="1:9" x14ac:dyDescent="0.3">
      <c r="A153">
        <v>21035</v>
      </c>
      <c r="B153" s="1">
        <v>45218</v>
      </c>
      <c r="C153" t="s">
        <v>14</v>
      </c>
      <c r="D153" t="s">
        <v>13</v>
      </c>
      <c r="E153" t="s">
        <v>11</v>
      </c>
      <c r="F153" s="2">
        <v>394.94</v>
      </c>
      <c r="G153" s="2">
        <v>86.15</v>
      </c>
      <c r="H153" s="2">
        <v>2</v>
      </c>
      <c r="I153" t="s">
        <v>17</v>
      </c>
    </row>
    <row r="154" spans="1:9" x14ac:dyDescent="0.3">
      <c r="A154">
        <v>53476</v>
      </c>
      <c r="B154" s="1">
        <v>45136</v>
      </c>
      <c r="C154" t="s">
        <v>9</v>
      </c>
      <c r="D154" t="s">
        <v>19</v>
      </c>
      <c r="E154" t="s">
        <v>20</v>
      </c>
      <c r="F154" s="2">
        <v>893.7</v>
      </c>
      <c r="G154" s="2">
        <v>93.65</v>
      </c>
      <c r="H154" s="2">
        <v>2</v>
      </c>
      <c r="I154" t="s">
        <v>26</v>
      </c>
    </row>
    <row r="155" spans="1:9" x14ac:dyDescent="0.3">
      <c r="A155">
        <v>78220</v>
      </c>
      <c r="B155" s="1">
        <v>45367</v>
      </c>
      <c r="C155" t="s">
        <v>14</v>
      </c>
      <c r="D155" t="s">
        <v>19</v>
      </c>
      <c r="E155" t="s">
        <v>20</v>
      </c>
      <c r="F155" s="2">
        <v>3625.26</v>
      </c>
      <c r="G155" s="2">
        <v>481.4</v>
      </c>
      <c r="H155" s="2">
        <v>5.5368421052631582</v>
      </c>
      <c r="I155" t="s">
        <v>12</v>
      </c>
    </row>
    <row r="156" spans="1:9" x14ac:dyDescent="0.3">
      <c r="A156">
        <v>23060</v>
      </c>
      <c r="B156" s="1">
        <v>45394</v>
      </c>
      <c r="C156" t="s">
        <v>9</v>
      </c>
      <c r="D156" t="s">
        <v>10</v>
      </c>
      <c r="E156" t="s">
        <v>11</v>
      </c>
      <c r="F156" s="2">
        <v>348.95</v>
      </c>
      <c r="G156" s="2">
        <v>39.67</v>
      </c>
      <c r="H156" s="2">
        <v>8</v>
      </c>
      <c r="I156" t="s">
        <v>17</v>
      </c>
    </row>
    <row r="157" spans="1:9" x14ac:dyDescent="0.3">
      <c r="A157">
        <v>66586</v>
      </c>
      <c r="B157" s="1">
        <v>45336</v>
      </c>
      <c r="C157" t="s">
        <v>23</v>
      </c>
      <c r="D157" t="s">
        <v>13</v>
      </c>
      <c r="E157" t="s">
        <v>11</v>
      </c>
      <c r="F157" s="2">
        <v>2257.17</v>
      </c>
      <c r="G157" s="2">
        <v>322.98</v>
      </c>
      <c r="H157" s="2">
        <v>6</v>
      </c>
      <c r="I157" t="s">
        <v>17</v>
      </c>
    </row>
    <row r="158" spans="1:9" x14ac:dyDescent="0.3">
      <c r="A158">
        <v>68432</v>
      </c>
      <c r="B158" s="1">
        <v>45514</v>
      </c>
      <c r="C158" t="s">
        <v>23</v>
      </c>
      <c r="D158" t="s">
        <v>28</v>
      </c>
      <c r="E158" t="s">
        <v>16</v>
      </c>
      <c r="F158" s="2">
        <v>186.75</v>
      </c>
      <c r="G158" s="2">
        <v>50.51</v>
      </c>
      <c r="H158" s="2">
        <v>7</v>
      </c>
      <c r="I158" t="s">
        <v>21</v>
      </c>
    </row>
    <row r="159" spans="1:9" x14ac:dyDescent="0.3">
      <c r="A159">
        <v>27555</v>
      </c>
      <c r="B159" s="1">
        <v>45457</v>
      </c>
      <c r="C159" t="s">
        <v>9</v>
      </c>
      <c r="D159" t="s">
        <v>27</v>
      </c>
      <c r="E159" t="s">
        <v>20</v>
      </c>
      <c r="F159" s="2">
        <v>2060.1</v>
      </c>
      <c r="G159" s="2">
        <v>347.39</v>
      </c>
      <c r="H159" s="2">
        <v>8</v>
      </c>
      <c r="I159" t="s">
        <v>21</v>
      </c>
    </row>
    <row r="160" spans="1:9" x14ac:dyDescent="0.3">
      <c r="A160">
        <v>93590</v>
      </c>
      <c r="B160" s="1">
        <v>45342</v>
      </c>
      <c r="C160" t="s">
        <v>23</v>
      </c>
      <c r="D160" t="s">
        <v>25</v>
      </c>
      <c r="E160" t="s">
        <v>20</v>
      </c>
      <c r="F160" s="2">
        <v>3141.83</v>
      </c>
      <c r="G160" s="2">
        <v>675.49</v>
      </c>
      <c r="H160" s="2">
        <v>5.5368421052631582</v>
      </c>
      <c r="I160" t="s">
        <v>21</v>
      </c>
    </row>
    <row r="161" spans="1:9" x14ac:dyDescent="0.3">
      <c r="A161">
        <v>97507</v>
      </c>
      <c r="B161" s="1">
        <v>45434</v>
      </c>
      <c r="C161" t="s">
        <v>18</v>
      </c>
      <c r="D161" t="s">
        <v>15</v>
      </c>
      <c r="E161" t="s">
        <v>16</v>
      </c>
      <c r="F161" s="2">
        <v>176.88</v>
      </c>
      <c r="G161" s="2">
        <v>23.65</v>
      </c>
      <c r="H161" s="2">
        <v>2</v>
      </c>
      <c r="I161" t="s">
        <v>17</v>
      </c>
    </row>
    <row r="162" spans="1:9" x14ac:dyDescent="0.3">
      <c r="A162">
        <v>18822</v>
      </c>
      <c r="B162" s="1">
        <v>45307</v>
      </c>
      <c r="C162" t="s">
        <v>9</v>
      </c>
      <c r="D162" t="s">
        <v>13</v>
      </c>
      <c r="E162" t="s">
        <v>11</v>
      </c>
      <c r="F162" s="2">
        <v>3273.9</v>
      </c>
      <c r="G162" s="2">
        <v>580.65</v>
      </c>
      <c r="H162" s="2">
        <v>7</v>
      </c>
      <c r="I162" t="s">
        <v>26</v>
      </c>
    </row>
    <row r="163" spans="1:9" x14ac:dyDescent="0.3">
      <c r="A163">
        <v>92708</v>
      </c>
      <c r="B163" s="1">
        <v>45443</v>
      </c>
      <c r="C163" t="s">
        <v>23</v>
      </c>
      <c r="D163" t="s">
        <v>28</v>
      </c>
      <c r="E163" t="s">
        <v>16</v>
      </c>
      <c r="F163" s="2">
        <v>191.16</v>
      </c>
      <c r="G163" s="2">
        <v>48.05</v>
      </c>
      <c r="H163" s="2">
        <v>7</v>
      </c>
      <c r="I163" t="s">
        <v>21</v>
      </c>
    </row>
    <row r="164" spans="1:9" x14ac:dyDescent="0.3">
      <c r="A164">
        <v>56587</v>
      </c>
      <c r="B164" s="1">
        <v>45326</v>
      </c>
      <c r="C164" t="s">
        <v>23</v>
      </c>
      <c r="D164" t="s">
        <v>25</v>
      </c>
      <c r="E164" t="s">
        <v>20</v>
      </c>
      <c r="F164" s="2">
        <v>1992.99</v>
      </c>
      <c r="G164" s="2">
        <v>319.99</v>
      </c>
      <c r="H164" s="2">
        <v>5.5368421052631582</v>
      </c>
      <c r="I164" t="s">
        <v>17</v>
      </c>
    </row>
    <row r="165" spans="1:9" x14ac:dyDescent="0.3">
      <c r="A165">
        <v>89637</v>
      </c>
      <c r="B165" s="1">
        <v>44988</v>
      </c>
      <c r="C165" t="s">
        <v>23</v>
      </c>
      <c r="D165" t="s">
        <v>10</v>
      </c>
      <c r="E165" t="s">
        <v>11</v>
      </c>
      <c r="F165" s="2">
        <v>3706.7</v>
      </c>
      <c r="G165" s="2">
        <v>231.87431578947385</v>
      </c>
      <c r="H165" s="2">
        <v>8</v>
      </c>
      <c r="I165" t="s">
        <v>21</v>
      </c>
    </row>
    <row r="166" spans="1:9" x14ac:dyDescent="0.3">
      <c r="A166">
        <v>82595</v>
      </c>
      <c r="B166" s="1">
        <v>44986</v>
      </c>
      <c r="C166" t="s">
        <v>14</v>
      </c>
      <c r="D166" t="s">
        <v>19</v>
      </c>
      <c r="E166" t="s">
        <v>20</v>
      </c>
      <c r="F166" s="2">
        <v>548.66</v>
      </c>
      <c r="G166" s="2">
        <v>37.409999999999997</v>
      </c>
      <c r="H166" s="2">
        <v>4</v>
      </c>
      <c r="I166" t="s">
        <v>26</v>
      </c>
    </row>
    <row r="167" spans="1:9" x14ac:dyDescent="0.3">
      <c r="A167">
        <v>14682</v>
      </c>
      <c r="B167" s="1">
        <v>45701</v>
      </c>
      <c r="C167" t="s">
        <v>23</v>
      </c>
      <c r="D167" t="s">
        <v>13</v>
      </c>
      <c r="E167" t="s">
        <v>11</v>
      </c>
      <c r="F167" s="2">
        <v>1003.63</v>
      </c>
      <c r="G167" s="2">
        <v>253.76</v>
      </c>
      <c r="H167" s="2">
        <v>4</v>
      </c>
      <c r="I167" t="s">
        <v>12</v>
      </c>
    </row>
    <row r="168" spans="1:9" x14ac:dyDescent="0.3">
      <c r="A168">
        <v>81081</v>
      </c>
      <c r="B168" s="1">
        <v>45359</v>
      </c>
      <c r="C168" t="s">
        <v>9</v>
      </c>
      <c r="D168" t="s">
        <v>15</v>
      </c>
      <c r="E168" t="s">
        <v>16</v>
      </c>
      <c r="F168" s="2">
        <v>461.51</v>
      </c>
      <c r="G168" s="2">
        <v>66.8</v>
      </c>
      <c r="H168" s="2">
        <v>1</v>
      </c>
      <c r="I168" t="s">
        <v>21</v>
      </c>
    </row>
    <row r="169" spans="1:9" x14ac:dyDescent="0.3">
      <c r="A169">
        <v>95672</v>
      </c>
      <c r="B169" s="1">
        <v>45204</v>
      </c>
      <c r="C169" t="s">
        <v>23</v>
      </c>
      <c r="D169" t="s">
        <v>13</v>
      </c>
      <c r="E169" t="s">
        <v>11</v>
      </c>
      <c r="F169" s="2">
        <v>3916.88</v>
      </c>
      <c r="G169" s="2">
        <v>655.14</v>
      </c>
      <c r="H169" s="2">
        <v>5.5368421052631582</v>
      </c>
      <c r="I169" t="s">
        <v>26</v>
      </c>
    </row>
    <row r="170" spans="1:9" x14ac:dyDescent="0.3">
      <c r="A170">
        <v>63259</v>
      </c>
      <c r="B170" s="1">
        <v>45083</v>
      </c>
      <c r="C170" t="s">
        <v>14</v>
      </c>
      <c r="D170" t="s">
        <v>24</v>
      </c>
      <c r="E170" t="s">
        <v>16</v>
      </c>
      <c r="F170" s="2">
        <v>183.9</v>
      </c>
      <c r="G170" s="2">
        <v>231.87431578947385</v>
      </c>
      <c r="H170" s="2">
        <v>2</v>
      </c>
      <c r="I170" t="s">
        <v>12</v>
      </c>
    </row>
    <row r="171" spans="1:9" x14ac:dyDescent="0.3">
      <c r="A171">
        <v>53852</v>
      </c>
      <c r="B171" s="1">
        <v>45117</v>
      </c>
      <c r="C171" t="s">
        <v>18</v>
      </c>
      <c r="D171" t="s">
        <v>28</v>
      </c>
      <c r="E171" t="s">
        <v>16</v>
      </c>
      <c r="F171" s="2">
        <v>2772.81</v>
      </c>
      <c r="G171" s="2">
        <v>307.98</v>
      </c>
      <c r="H171" s="2">
        <v>10</v>
      </c>
      <c r="I171" t="s">
        <v>26</v>
      </c>
    </row>
    <row r="172" spans="1:9" x14ac:dyDescent="0.3">
      <c r="A172">
        <v>76967</v>
      </c>
      <c r="B172" s="1">
        <v>45551</v>
      </c>
      <c r="C172" t="s">
        <v>14</v>
      </c>
      <c r="D172" t="s">
        <v>19</v>
      </c>
      <c r="E172" t="s">
        <v>20</v>
      </c>
      <c r="F172" s="2">
        <v>2559.29</v>
      </c>
      <c r="G172" s="2">
        <v>147.32</v>
      </c>
      <c r="H172" s="2">
        <v>10</v>
      </c>
      <c r="I172" t="s">
        <v>17</v>
      </c>
    </row>
    <row r="173" spans="1:9" x14ac:dyDescent="0.3">
      <c r="A173">
        <v>92186</v>
      </c>
      <c r="B173" s="1">
        <v>45348</v>
      </c>
      <c r="C173" t="s">
        <v>18</v>
      </c>
      <c r="D173" t="s">
        <v>13</v>
      </c>
      <c r="E173" t="s">
        <v>11</v>
      </c>
      <c r="F173" s="2">
        <v>371.67</v>
      </c>
      <c r="G173" s="2">
        <v>46.84</v>
      </c>
      <c r="H173" s="2">
        <v>4</v>
      </c>
      <c r="I173" t="s">
        <v>12</v>
      </c>
    </row>
    <row r="174" spans="1:9" x14ac:dyDescent="0.3">
      <c r="A174">
        <v>77932</v>
      </c>
      <c r="B174" s="1">
        <v>45061</v>
      </c>
      <c r="C174" t="s">
        <v>9</v>
      </c>
      <c r="D174" t="s">
        <v>24</v>
      </c>
      <c r="E174" t="s">
        <v>16</v>
      </c>
      <c r="F174" s="2">
        <v>2869.82</v>
      </c>
      <c r="G174" s="2">
        <v>160.49</v>
      </c>
      <c r="H174" s="2">
        <v>9</v>
      </c>
      <c r="I174" t="s">
        <v>26</v>
      </c>
    </row>
    <row r="175" spans="1:9" x14ac:dyDescent="0.3">
      <c r="A175">
        <v>80731</v>
      </c>
      <c r="B175" s="1">
        <v>45048</v>
      </c>
      <c r="C175" t="s">
        <v>14</v>
      </c>
      <c r="D175" t="s">
        <v>13</v>
      </c>
      <c r="E175" t="s">
        <v>11</v>
      </c>
      <c r="F175" s="2">
        <v>847.95</v>
      </c>
      <c r="G175" s="2">
        <v>192.83</v>
      </c>
      <c r="H175" s="2">
        <v>10</v>
      </c>
      <c r="I175" t="s">
        <v>17</v>
      </c>
    </row>
    <row r="176" spans="1:9" x14ac:dyDescent="0.3">
      <c r="A176">
        <v>99372</v>
      </c>
      <c r="B176" s="1">
        <v>45200</v>
      </c>
      <c r="C176" t="s">
        <v>23</v>
      </c>
      <c r="D176" t="s">
        <v>25</v>
      </c>
      <c r="E176" t="s">
        <v>20</v>
      </c>
      <c r="F176" s="2">
        <v>2493.37</v>
      </c>
      <c r="G176" s="2">
        <v>606.63</v>
      </c>
      <c r="H176" s="2">
        <v>10</v>
      </c>
      <c r="I176" t="s">
        <v>12</v>
      </c>
    </row>
    <row r="177" spans="1:9" x14ac:dyDescent="0.3">
      <c r="A177">
        <v>50455</v>
      </c>
      <c r="B177" s="1">
        <v>45664</v>
      </c>
      <c r="C177" t="s">
        <v>9</v>
      </c>
      <c r="D177" t="s">
        <v>25</v>
      </c>
      <c r="E177" t="s">
        <v>20</v>
      </c>
      <c r="F177" s="2">
        <v>379.65</v>
      </c>
      <c r="G177" s="2">
        <v>78.69</v>
      </c>
      <c r="H177" s="2">
        <v>3</v>
      </c>
      <c r="I177" t="s">
        <v>21</v>
      </c>
    </row>
    <row r="178" spans="1:9" x14ac:dyDescent="0.3">
      <c r="A178">
        <v>97558</v>
      </c>
      <c r="B178" s="1">
        <v>45485</v>
      </c>
      <c r="C178" t="s">
        <v>18</v>
      </c>
      <c r="D178" t="s">
        <v>19</v>
      </c>
      <c r="E178" t="s">
        <v>20</v>
      </c>
      <c r="F178" s="2">
        <v>360.9</v>
      </c>
      <c r="G178" s="2">
        <v>57.62</v>
      </c>
      <c r="H178" s="2">
        <v>4</v>
      </c>
      <c r="I178" t="s">
        <v>17</v>
      </c>
    </row>
    <row r="179" spans="1:9" x14ac:dyDescent="0.3">
      <c r="A179">
        <v>63736</v>
      </c>
      <c r="B179" s="1">
        <v>45412</v>
      </c>
      <c r="C179" t="s">
        <v>18</v>
      </c>
      <c r="D179" t="s">
        <v>22</v>
      </c>
      <c r="E179" t="s">
        <v>11</v>
      </c>
      <c r="F179" s="2">
        <v>287.94</v>
      </c>
      <c r="G179" s="2">
        <v>56.54</v>
      </c>
      <c r="H179" s="2">
        <v>5</v>
      </c>
      <c r="I179" t="s">
        <v>17</v>
      </c>
    </row>
    <row r="180" spans="1:9" x14ac:dyDescent="0.3">
      <c r="A180">
        <v>54752</v>
      </c>
      <c r="B180" s="1">
        <v>45018</v>
      </c>
      <c r="C180" t="s">
        <v>18</v>
      </c>
      <c r="D180" t="s">
        <v>10</v>
      </c>
      <c r="E180" t="s">
        <v>11</v>
      </c>
      <c r="F180" s="2">
        <v>1752.32</v>
      </c>
      <c r="G180" s="2">
        <v>88.9</v>
      </c>
      <c r="H180" s="2">
        <v>5</v>
      </c>
      <c r="I180" t="s">
        <v>12</v>
      </c>
    </row>
    <row r="181" spans="1:9" x14ac:dyDescent="0.3">
      <c r="A181">
        <v>95731</v>
      </c>
      <c r="B181" s="1">
        <v>45119</v>
      </c>
      <c r="C181" t="s">
        <v>14</v>
      </c>
      <c r="D181" t="s">
        <v>10</v>
      </c>
      <c r="E181" t="s">
        <v>11</v>
      </c>
      <c r="F181" s="2">
        <v>1413.4390526315788</v>
      </c>
      <c r="G181" s="2">
        <v>12.2</v>
      </c>
      <c r="H181" s="2">
        <v>1</v>
      </c>
      <c r="I181" t="s">
        <v>17</v>
      </c>
    </row>
    <row r="182" spans="1:9" x14ac:dyDescent="0.3">
      <c r="A182">
        <v>20220</v>
      </c>
      <c r="B182" s="1">
        <v>45578</v>
      </c>
      <c r="C182" t="s">
        <v>14</v>
      </c>
      <c r="D182" t="s">
        <v>25</v>
      </c>
      <c r="E182" t="s">
        <v>20</v>
      </c>
      <c r="F182" s="2">
        <v>2837.7</v>
      </c>
      <c r="G182" s="2">
        <v>767.22</v>
      </c>
      <c r="H182" s="2">
        <v>6</v>
      </c>
      <c r="I182" t="s">
        <v>17</v>
      </c>
    </row>
    <row r="183" spans="1:9" x14ac:dyDescent="0.3">
      <c r="A183">
        <v>89396</v>
      </c>
      <c r="B183" s="1">
        <v>45072</v>
      </c>
      <c r="C183" t="s">
        <v>18</v>
      </c>
      <c r="D183" t="s">
        <v>22</v>
      </c>
      <c r="E183" t="s">
        <v>11</v>
      </c>
      <c r="F183" s="2">
        <v>331.3</v>
      </c>
      <c r="G183" s="2">
        <v>37.229999999999997</v>
      </c>
      <c r="H183" s="2">
        <v>1</v>
      </c>
      <c r="I183" t="s">
        <v>21</v>
      </c>
    </row>
    <row r="184" spans="1:9" x14ac:dyDescent="0.3">
      <c r="A184">
        <v>48020</v>
      </c>
      <c r="B184" s="1">
        <v>45299</v>
      </c>
      <c r="C184" t="s">
        <v>9</v>
      </c>
      <c r="D184" t="s">
        <v>24</v>
      </c>
      <c r="E184" t="s">
        <v>16</v>
      </c>
      <c r="F184" s="2">
        <v>3235.17</v>
      </c>
      <c r="G184" s="2">
        <v>307.87</v>
      </c>
      <c r="H184" s="2">
        <v>8</v>
      </c>
      <c r="I184" t="s">
        <v>21</v>
      </c>
    </row>
    <row r="185" spans="1:9" x14ac:dyDescent="0.3">
      <c r="A185">
        <v>34084</v>
      </c>
      <c r="B185" s="1">
        <v>45265</v>
      </c>
      <c r="C185" t="s">
        <v>18</v>
      </c>
      <c r="D185" t="s">
        <v>19</v>
      </c>
      <c r="E185" t="s">
        <v>20</v>
      </c>
      <c r="F185" s="2">
        <v>642.99</v>
      </c>
      <c r="G185" s="2">
        <v>96.97</v>
      </c>
      <c r="H185" s="2">
        <v>9</v>
      </c>
      <c r="I185" t="s">
        <v>21</v>
      </c>
    </row>
    <row r="186" spans="1:9" x14ac:dyDescent="0.3">
      <c r="A186">
        <v>34841</v>
      </c>
      <c r="B186" s="1">
        <v>45454</v>
      </c>
      <c r="C186" t="s">
        <v>23</v>
      </c>
      <c r="D186" t="s">
        <v>13</v>
      </c>
      <c r="E186" t="s">
        <v>11</v>
      </c>
      <c r="F186" s="2">
        <v>336.18</v>
      </c>
      <c r="G186" s="2">
        <v>37.33</v>
      </c>
      <c r="H186" s="2">
        <v>6</v>
      </c>
      <c r="I186" t="s">
        <v>21</v>
      </c>
    </row>
    <row r="187" spans="1:9" x14ac:dyDescent="0.3">
      <c r="A187">
        <v>96661</v>
      </c>
      <c r="B187" s="1">
        <v>45235</v>
      </c>
      <c r="C187" t="s">
        <v>23</v>
      </c>
      <c r="D187" t="s">
        <v>27</v>
      </c>
      <c r="E187" t="s">
        <v>20</v>
      </c>
      <c r="F187" s="2">
        <v>1198.8900000000001</v>
      </c>
      <c r="G187" s="2">
        <v>134.86000000000001</v>
      </c>
      <c r="H187" s="2">
        <v>3</v>
      </c>
      <c r="I187" t="s">
        <v>12</v>
      </c>
    </row>
    <row r="188" spans="1:9" x14ac:dyDescent="0.3">
      <c r="A188">
        <v>87742</v>
      </c>
      <c r="B188" s="1">
        <v>45408</v>
      </c>
      <c r="C188" t="s">
        <v>14</v>
      </c>
      <c r="D188" t="s">
        <v>19</v>
      </c>
      <c r="E188" t="s">
        <v>20</v>
      </c>
      <c r="F188" s="2">
        <v>2489.56</v>
      </c>
      <c r="G188" s="2">
        <v>235.42</v>
      </c>
      <c r="H188" s="2">
        <v>6</v>
      </c>
      <c r="I188" t="s">
        <v>21</v>
      </c>
    </row>
    <row r="189" spans="1:9" x14ac:dyDescent="0.3">
      <c r="A189">
        <v>85254</v>
      </c>
      <c r="B189" s="1">
        <v>45180</v>
      </c>
      <c r="C189" t="s">
        <v>9</v>
      </c>
      <c r="D189" t="s">
        <v>10</v>
      </c>
      <c r="E189" t="s">
        <v>11</v>
      </c>
      <c r="F189" s="2">
        <v>712.8</v>
      </c>
      <c r="G189" s="2">
        <v>173.06</v>
      </c>
      <c r="H189" s="2">
        <v>6</v>
      </c>
      <c r="I189" t="s">
        <v>17</v>
      </c>
    </row>
    <row r="190" spans="1:9" x14ac:dyDescent="0.3">
      <c r="A190">
        <v>28410</v>
      </c>
      <c r="B190" s="1">
        <v>45584</v>
      </c>
      <c r="C190" t="s">
        <v>18</v>
      </c>
      <c r="D190" t="s">
        <v>27</v>
      </c>
      <c r="E190" t="s">
        <v>20</v>
      </c>
      <c r="F190" s="2">
        <v>291.44</v>
      </c>
      <c r="G190" s="2">
        <v>60.02</v>
      </c>
      <c r="H190" s="2">
        <v>5.5368421052631582</v>
      </c>
      <c r="I190" t="s">
        <v>21</v>
      </c>
    </row>
    <row r="191" spans="1:9" x14ac:dyDescent="0.3">
      <c r="A191">
        <v>65584</v>
      </c>
      <c r="B191" s="1">
        <v>45562</v>
      </c>
      <c r="C191" t="s">
        <v>18</v>
      </c>
      <c r="D191" t="s">
        <v>15</v>
      </c>
      <c r="E191" t="s">
        <v>16</v>
      </c>
      <c r="F191" s="2">
        <v>379.59</v>
      </c>
      <c r="G191" s="2">
        <v>41.99</v>
      </c>
      <c r="H191" s="2">
        <v>2</v>
      </c>
      <c r="I191" t="s">
        <v>26</v>
      </c>
    </row>
    <row r="192" spans="1:9" x14ac:dyDescent="0.3">
      <c r="A192">
        <v>47380</v>
      </c>
      <c r="B192" s="1">
        <v>45152</v>
      </c>
      <c r="C192" t="s">
        <v>18</v>
      </c>
      <c r="D192" t="s">
        <v>19</v>
      </c>
      <c r="E192" t="s">
        <v>20</v>
      </c>
      <c r="F192" s="2">
        <v>322.63</v>
      </c>
      <c r="G192" s="2">
        <v>23.2</v>
      </c>
      <c r="H192" s="2">
        <v>2</v>
      </c>
      <c r="I192" t="s">
        <v>26</v>
      </c>
    </row>
    <row r="193" spans="1:9" x14ac:dyDescent="0.3">
      <c r="A193">
        <v>78148</v>
      </c>
      <c r="B193" s="1">
        <v>45387</v>
      </c>
      <c r="C193" t="s">
        <v>9</v>
      </c>
      <c r="D193" t="s">
        <v>25</v>
      </c>
      <c r="E193" t="s">
        <v>20</v>
      </c>
      <c r="F193" s="2">
        <v>4360.38</v>
      </c>
      <c r="G193" s="2">
        <v>580.99</v>
      </c>
      <c r="H193" s="2">
        <v>9</v>
      </c>
      <c r="I193" t="s">
        <v>17</v>
      </c>
    </row>
    <row r="194" spans="1:9" x14ac:dyDescent="0.3">
      <c r="A194">
        <v>30828</v>
      </c>
      <c r="B194" s="1">
        <v>45523</v>
      </c>
      <c r="C194" t="s">
        <v>9</v>
      </c>
      <c r="D194" t="s">
        <v>24</v>
      </c>
      <c r="E194" t="s">
        <v>16</v>
      </c>
      <c r="F194" s="2">
        <v>389.33</v>
      </c>
      <c r="G194" s="2">
        <v>72.459999999999994</v>
      </c>
      <c r="H194" s="2">
        <v>5.5368421052631582</v>
      </c>
      <c r="I194" t="s">
        <v>17</v>
      </c>
    </row>
    <row r="195" spans="1:9" x14ac:dyDescent="0.3">
      <c r="A195">
        <v>23236</v>
      </c>
      <c r="B195" s="1">
        <v>45106</v>
      </c>
      <c r="C195" t="s">
        <v>14</v>
      </c>
      <c r="D195" t="s">
        <v>22</v>
      </c>
      <c r="E195" t="s">
        <v>11</v>
      </c>
      <c r="F195" s="2">
        <v>415.13</v>
      </c>
      <c r="G195" s="2">
        <v>111.36</v>
      </c>
      <c r="H195" s="2">
        <v>1</v>
      </c>
      <c r="I195" t="s">
        <v>17</v>
      </c>
    </row>
    <row r="196" spans="1:9" x14ac:dyDescent="0.3">
      <c r="A196">
        <v>33146</v>
      </c>
      <c r="B196" s="1">
        <v>45042</v>
      </c>
      <c r="C196" t="s">
        <v>9</v>
      </c>
      <c r="D196" t="s">
        <v>25</v>
      </c>
      <c r="E196" t="s">
        <v>20</v>
      </c>
      <c r="F196" s="2">
        <v>2131.12</v>
      </c>
      <c r="G196" s="2">
        <v>414.58</v>
      </c>
      <c r="H196" s="2">
        <v>7</v>
      </c>
      <c r="I196" t="s">
        <v>12</v>
      </c>
    </row>
    <row r="197" spans="1:9" x14ac:dyDescent="0.3">
      <c r="A197">
        <v>52570</v>
      </c>
      <c r="B197" s="1">
        <v>45262</v>
      </c>
      <c r="C197" t="s">
        <v>14</v>
      </c>
      <c r="D197" t="s">
        <v>10</v>
      </c>
      <c r="E197" t="s">
        <v>11</v>
      </c>
      <c r="F197" s="2">
        <v>877.02</v>
      </c>
      <c r="G197" s="2">
        <v>203.02</v>
      </c>
      <c r="H197" s="2">
        <v>3</v>
      </c>
      <c r="I197" t="s">
        <v>21</v>
      </c>
    </row>
    <row r="198" spans="1:9" x14ac:dyDescent="0.3">
      <c r="A198">
        <v>13338</v>
      </c>
      <c r="B198" s="1">
        <v>45084</v>
      </c>
      <c r="C198" t="s">
        <v>14</v>
      </c>
      <c r="D198" t="s">
        <v>13</v>
      </c>
      <c r="E198" t="s">
        <v>11</v>
      </c>
      <c r="F198" s="2">
        <v>365.25</v>
      </c>
      <c r="G198" s="2">
        <v>46.46</v>
      </c>
      <c r="H198" s="2">
        <v>4</v>
      </c>
      <c r="I198" t="s">
        <v>26</v>
      </c>
    </row>
    <row r="199" spans="1:9" x14ac:dyDescent="0.3">
      <c r="A199">
        <v>44744</v>
      </c>
      <c r="B199" s="1">
        <v>45683</v>
      </c>
      <c r="C199" t="s">
        <v>18</v>
      </c>
      <c r="D199" t="s">
        <v>28</v>
      </c>
      <c r="E199" t="s">
        <v>16</v>
      </c>
      <c r="F199" s="2">
        <v>2323.59</v>
      </c>
      <c r="G199" s="2">
        <v>399.16</v>
      </c>
      <c r="H199" s="2">
        <v>8</v>
      </c>
      <c r="I199" t="s">
        <v>17</v>
      </c>
    </row>
    <row r="200" spans="1:9" x14ac:dyDescent="0.3">
      <c r="A200">
        <v>68560</v>
      </c>
      <c r="B200" s="1">
        <v>45684</v>
      </c>
      <c r="C200" t="s">
        <v>18</v>
      </c>
      <c r="D200" t="s">
        <v>28</v>
      </c>
      <c r="E200" t="s">
        <v>16</v>
      </c>
      <c r="F200" s="2">
        <v>21.11</v>
      </c>
      <c r="G200" s="2">
        <v>3.82</v>
      </c>
      <c r="H200" s="2">
        <v>2</v>
      </c>
      <c r="I200" t="s">
        <v>21</v>
      </c>
    </row>
    <row r="201" spans="1:9" x14ac:dyDescent="0.3">
      <c r="A201">
        <v>50688</v>
      </c>
      <c r="B201" s="1">
        <v>45047</v>
      </c>
      <c r="C201" t="s">
        <v>14</v>
      </c>
      <c r="D201" t="s">
        <v>10</v>
      </c>
      <c r="E201" t="s">
        <v>11</v>
      </c>
      <c r="F201" s="2">
        <v>867.48</v>
      </c>
      <c r="G201" s="2">
        <v>235.79</v>
      </c>
      <c r="H201" s="2">
        <v>3</v>
      </c>
      <c r="I201" t="s">
        <v>12</v>
      </c>
    </row>
  </sheetData>
  <conditionalFormatting sqref="F1:H201">
    <cfRule type="containsBlanks" dxfId="0" priority="1">
      <formula>LEN(TRIM(F1))=0</formula>
    </cfRule>
    <cfRule type="containsBlanks" priority="2">
      <formula>LEN(TRIM(F1))=0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EB8DB-B5EC-4C33-AF1B-12774BA6E99B}">
  <dimension ref="A1:AI41"/>
  <sheetViews>
    <sheetView tabSelected="1" zoomScale="70" zoomScaleNormal="70" workbookViewId="0">
      <selection activeCell="K9" sqref="K9"/>
    </sheetView>
  </sheetViews>
  <sheetFormatPr defaultRowHeight="14.4" x14ac:dyDescent="0.3"/>
  <sheetData>
    <row r="1" spans="1:35" x14ac:dyDescent="0.3">
      <c r="A1" s="9"/>
      <c r="B1" s="10"/>
      <c r="C1" s="10"/>
      <c r="D1" s="10"/>
      <c r="E1" s="10"/>
      <c r="F1" s="10"/>
      <c r="G1" s="10"/>
      <c r="H1" s="10"/>
      <c r="I1" s="10"/>
      <c r="J1" s="10"/>
      <c r="K1" s="10"/>
      <c r="L1" s="10"/>
      <c r="M1" s="10"/>
      <c r="N1" s="10"/>
      <c r="O1" s="10"/>
      <c r="P1" s="10"/>
      <c r="Q1" s="10"/>
      <c r="R1" s="10"/>
      <c r="S1" s="10"/>
      <c r="T1" s="10"/>
      <c r="U1" s="10"/>
      <c r="V1" s="10"/>
      <c r="W1" s="10"/>
      <c r="X1" s="3"/>
      <c r="Y1" s="3"/>
      <c r="Z1" s="3"/>
      <c r="AA1" s="3"/>
      <c r="AB1" s="3"/>
      <c r="AC1" s="3"/>
      <c r="AD1" s="3"/>
      <c r="AE1" s="3"/>
      <c r="AF1" s="3"/>
      <c r="AG1" s="3"/>
      <c r="AH1" s="3"/>
      <c r="AI1" s="3"/>
    </row>
    <row r="2" spans="1:35" x14ac:dyDescent="0.3">
      <c r="A2" s="11"/>
      <c r="B2" s="3"/>
      <c r="C2" s="3"/>
      <c r="D2" s="3"/>
      <c r="E2" s="3"/>
      <c r="F2" s="3"/>
      <c r="G2" s="14" t="s">
        <v>49</v>
      </c>
      <c r="H2" s="15"/>
      <c r="I2" s="15"/>
      <c r="J2" s="15"/>
      <c r="K2" s="15"/>
      <c r="L2" s="15"/>
      <c r="M2" s="15"/>
      <c r="N2" s="15"/>
      <c r="O2" s="15"/>
      <c r="P2" s="15"/>
      <c r="Q2" s="15"/>
      <c r="R2" s="15"/>
      <c r="S2" s="15"/>
      <c r="T2" s="15"/>
      <c r="U2" s="15"/>
      <c r="V2" s="15"/>
      <c r="W2" s="15"/>
      <c r="X2" s="15"/>
      <c r="Y2" s="15"/>
      <c r="Z2" s="3"/>
      <c r="AA2" s="3"/>
      <c r="AB2" s="3"/>
      <c r="AC2" s="3"/>
      <c r="AD2" s="3"/>
      <c r="AE2" s="3"/>
      <c r="AF2" s="3"/>
      <c r="AG2" s="3"/>
      <c r="AH2" s="3"/>
      <c r="AI2" s="3"/>
    </row>
    <row r="3" spans="1:35" x14ac:dyDescent="0.3">
      <c r="A3" s="11"/>
      <c r="B3" s="3"/>
      <c r="C3" s="3"/>
      <c r="D3" s="3"/>
      <c r="E3" s="3"/>
      <c r="F3" s="3"/>
      <c r="G3" s="15"/>
      <c r="H3" s="15"/>
      <c r="I3" s="15"/>
      <c r="J3" s="15"/>
      <c r="K3" s="15"/>
      <c r="L3" s="15"/>
      <c r="M3" s="15"/>
      <c r="N3" s="15"/>
      <c r="O3" s="15"/>
      <c r="P3" s="15"/>
      <c r="Q3" s="15"/>
      <c r="R3" s="15"/>
      <c r="S3" s="15"/>
      <c r="T3" s="15"/>
      <c r="U3" s="15"/>
      <c r="V3" s="15"/>
      <c r="W3" s="15"/>
      <c r="X3" s="15"/>
      <c r="Y3" s="15"/>
      <c r="Z3" s="3"/>
      <c r="AA3" s="3"/>
      <c r="AB3" s="3"/>
      <c r="AC3" s="3"/>
      <c r="AD3" s="3"/>
      <c r="AE3" s="3"/>
      <c r="AF3" s="3"/>
      <c r="AG3" s="3"/>
      <c r="AH3" s="3"/>
      <c r="AI3" s="3"/>
    </row>
    <row r="4" spans="1:35" x14ac:dyDescent="0.3">
      <c r="A4" s="11"/>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row>
    <row r="5" spans="1:35" ht="14.4" customHeight="1" x14ac:dyDescent="0.3">
      <c r="A5" s="11"/>
      <c r="B5" s="3"/>
      <c r="C5" s="3"/>
      <c r="D5" s="3"/>
      <c r="E5" s="12" t="s">
        <v>44</v>
      </c>
      <c r="F5" s="13"/>
      <c r="G5" s="13"/>
      <c r="H5" s="13"/>
      <c r="I5" s="13"/>
      <c r="J5" s="3"/>
      <c r="K5" s="12" t="s">
        <v>48</v>
      </c>
      <c r="L5" s="13"/>
      <c r="M5" s="13"/>
      <c r="N5" s="13"/>
      <c r="O5" s="13"/>
      <c r="P5" s="3"/>
      <c r="Q5" s="12" t="s">
        <v>45</v>
      </c>
      <c r="R5" s="13"/>
      <c r="S5" s="13"/>
      <c r="T5" s="13"/>
      <c r="U5" s="13"/>
      <c r="V5" s="3"/>
      <c r="W5" s="12" t="s">
        <v>46</v>
      </c>
      <c r="X5" s="13"/>
      <c r="Y5" s="13"/>
      <c r="Z5" s="13"/>
      <c r="AA5" s="13"/>
      <c r="AB5" s="3"/>
      <c r="AC5" s="12" t="s">
        <v>47</v>
      </c>
      <c r="AD5" s="13"/>
      <c r="AE5" s="13"/>
      <c r="AF5" s="13"/>
      <c r="AG5" s="13"/>
      <c r="AH5" s="3"/>
      <c r="AI5" s="3"/>
    </row>
    <row r="6" spans="1:35" x14ac:dyDescent="0.3">
      <c r="A6" s="11"/>
      <c r="B6" s="3"/>
      <c r="C6" s="3"/>
      <c r="D6" s="3"/>
      <c r="E6" s="13"/>
      <c r="F6" s="13"/>
      <c r="G6" s="13"/>
      <c r="H6" s="13"/>
      <c r="I6" s="13"/>
      <c r="J6" s="3"/>
      <c r="K6" s="13"/>
      <c r="L6" s="13"/>
      <c r="M6" s="13"/>
      <c r="N6" s="13"/>
      <c r="O6" s="13"/>
      <c r="P6" s="3"/>
      <c r="Q6" s="13"/>
      <c r="R6" s="13"/>
      <c r="S6" s="13"/>
      <c r="T6" s="13"/>
      <c r="U6" s="13"/>
      <c r="V6" s="3"/>
      <c r="W6" s="13"/>
      <c r="X6" s="13"/>
      <c r="Y6" s="13"/>
      <c r="Z6" s="13"/>
      <c r="AA6" s="13"/>
      <c r="AB6" s="3"/>
      <c r="AC6" s="13"/>
      <c r="AD6" s="13"/>
      <c r="AE6" s="13"/>
      <c r="AF6" s="13"/>
      <c r="AG6" s="13"/>
      <c r="AH6" s="3"/>
      <c r="AI6" s="3"/>
    </row>
    <row r="7" spans="1:35" ht="18" x14ac:dyDescent="0.3">
      <c r="A7" s="11"/>
      <c r="B7" s="3"/>
      <c r="C7" s="3"/>
      <c r="D7" s="3"/>
      <c r="E7" s="17">
        <f>KPI_Summary!A3</f>
        <v>282687.81052631582</v>
      </c>
      <c r="F7" s="17"/>
      <c r="G7" s="17"/>
      <c r="H7" s="17"/>
      <c r="I7" s="17"/>
      <c r="J7" s="3"/>
      <c r="K7" s="17">
        <f>KPI_Summary!B3</f>
        <v>1413.4390526315792</v>
      </c>
      <c r="L7" s="17"/>
      <c r="M7" s="17"/>
      <c r="N7" s="17"/>
      <c r="O7" s="17"/>
      <c r="P7" s="3"/>
      <c r="Q7" s="17">
        <f>KPI_Summary!C3</f>
        <v>46374.863157894768</v>
      </c>
      <c r="R7" s="17"/>
      <c r="S7" s="17"/>
      <c r="T7" s="17"/>
      <c r="U7" s="17"/>
      <c r="V7" s="3"/>
      <c r="W7" s="17">
        <f>KPI_Summary!D3</f>
        <v>200</v>
      </c>
      <c r="X7" s="17"/>
      <c r="Y7" s="17"/>
      <c r="Z7" s="17"/>
      <c r="AA7" s="17"/>
      <c r="AB7" s="3"/>
      <c r="AC7" s="16">
        <f>KPI_Summary!E3</f>
        <v>16.404974473979898</v>
      </c>
      <c r="AD7" s="16"/>
      <c r="AE7" s="16"/>
      <c r="AF7" s="16"/>
      <c r="AG7" s="16"/>
      <c r="AH7" s="3"/>
      <c r="AI7" s="3"/>
    </row>
    <row r="8" spans="1:35" x14ac:dyDescent="0.3">
      <c r="A8" s="11"/>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row>
    <row r="9" spans="1:35" x14ac:dyDescent="0.3">
      <c r="A9" s="11"/>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row>
    <row r="10" spans="1:35" x14ac:dyDescent="0.3">
      <c r="A10" s="11"/>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row>
    <row r="11" spans="1:35" x14ac:dyDescent="0.3">
      <c r="A11" s="11"/>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row>
    <row r="12" spans="1:35" x14ac:dyDescent="0.3">
      <c r="A12" s="11"/>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row>
    <row r="13" spans="1:35" x14ac:dyDescent="0.3">
      <c r="A13" s="11"/>
      <c r="B13" s="3"/>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row>
    <row r="14" spans="1:35" x14ac:dyDescent="0.3">
      <c r="A14" s="11"/>
      <c r="B14" s="3"/>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row>
    <row r="15" spans="1:35" x14ac:dyDescent="0.3">
      <c r="A15" s="11"/>
      <c r="B15" s="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row>
    <row r="16" spans="1:35" x14ac:dyDescent="0.3">
      <c r="A16" s="11"/>
      <c r="B16" s="3"/>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row>
    <row r="17" spans="1:35" x14ac:dyDescent="0.3">
      <c r="A17" s="11"/>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row>
    <row r="18" spans="1:35" x14ac:dyDescent="0.3">
      <c r="A18" s="11"/>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row>
    <row r="19" spans="1:35" x14ac:dyDescent="0.3">
      <c r="A19" s="11"/>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row>
    <row r="20" spans="1:35" x14ac:dyDescent="0.3">
      <c r="A20" s="11"/>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row>
    <row r="21" spans="1:35" x14ac:dyDescent="0.3">
      <c r="A21" s="11"/>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row>
    <row r="22" spans="1:35" x14ac:dyDescent="0.3">
      <c r="A22" s="11"/>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row>
    <row r="23" spans="1:35" x14ac:dyDescent="0.3">
      <c r="A23" s="11"/>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row>
    <row r="24" spans="1:35" x14ac:dyDescent="0.3">
      <c r="A24" s="11"/>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row>
    <row r="25" spans="1:35" x14ac:dyDescent="0.3">
      <c r="A25" s="11"/>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row>
    <row r="26" spans="1:35" x14ac:dyDescent="0.3">
      <c r="A26" s="11"/>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row>
    <row r="27" spans="1:35" x14ac:dyDescent="0.3">
      <c r="A27" s="11"/>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row>
    <row r="28" spans="1:35" x14ac:dyDescent="0.3">
      <c r="A28" s="11"/>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row>
    <row r="29" spans="1:35" x14ac:dyDescent="0.3">
      <c r="A29" s="11"/>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row>
    <row r="30" spans="1:35" x14ac:dyDescent="0.3">
      <c r="A30" s="11"/>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row>
    <row r="31" spans="1:35" x14ac:dyDescent="0.3">
      <c r="A31" s="11"/>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row>
    <row r="32" spans="1:35" x14ac:dyDescent="0.3">
      <c r="A32" s="11"/>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row>
    <row r="33" spans="1:35" x14ac:dyDescent="0.3">
      <c r="A33" s="11"/>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row>
    <row r="34" spans="1:35" x14ac:dyDescent="0.3">
      <c r="A34" s="11"/>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row>
    <row r="35" spans="1:35" x14ac:dyDescent="0.3">
      <c r="A35" s="11"/>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row>
    <row r="36" spans="1:35" x14ac:dyDescent="0.3">
      <c r="A36" s="11"/>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row>
    <row r="37" spans="1:35" x14ac:dyDescent="0.3">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row>
    <row r="38" spans="1:35" x14ac:dyDescent="0.3">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row>
    <row r="39" spans="1:35" x14ac:dyDescent="0.3">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row>
    <row r="40" spans="1:35" x14ac:dyDescent="0.3">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row>
    <row r="41" spans="1:35" x14ac:dyDescent="0.3">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row>
  </sheetData>
  <mergeCells count="11">
    <mergeCell ref="E7:I7"/>
    <mergeCell ref="K7:O7"/>
    <mergeCell ref="Q7:U7"/>
    <mergeCell ref="W7:AA7"/>
    <mergeCell ref="AC7:AG7"/>
    <mergeCell ref="AC5:AG6"/>
    <mergeCell ref="G2:Y3"/>
    <mergeCell ref="E5:I6"/>
    <mergeCell ref="K5:O6"/>
    <mergeCell ref="Q5:U6"/>
    <mergeCell ref="W5:AA6"/>
  </mergeCells>
  <conditionalFormatting sqref="E7:I7">
    <cfRule type="iconSet" priority="10">
      <iconSet iconSet="5Arrows">
        <cfvo type="percent" val="0"/>
        <cfvo type="percent" val="20"/>
        <cfvo type="percent" val="40"/>
        <cfvo type="percent" val="60"/>
        <cfvo type="percent" val="80"/>
      </iconSet>
    </cfRule>
  </conditionalFormatting>
  <conditionalFormatting sqref="K7:O7">
    <cfRule type="iconSet" priority="5">
      <iconSet iconSet="5Arrows">
        <cfvo type="percent" val="0"/>
        <cfvo type="percent" val="20"/>
        <cfvo type="percent" val="40"/>
        <cfvo type="percent" val="60"/>
        <cfvo type="percent" val="80"/>
      </iconSet>
    </cfRule>
  </conditionalFormatting>
  <conditionalFormatting sqref="Q7:U7">
    <cfRule type="iconSet" priority="4">
      <iconSet iconSet="5Arrows">
        <cfvo type="percent" val="0"/>
        <cfvo type="percent" val="20"/>
        <cfvo type="percent" val="40"/>
        <cfvo type="percent" val="60"/>
        <cfvo type="percent" val="80"/>
      </iconSet>
    </cfRule>
  </conditionalFormatting>
  <conditionalFormatting sqref="W7:AA7">
    <cfRule type="iconSet" priority="2">
      <iconSet iconSet="5Arrows">
        <cfvo type="percent" val="0"/>
        <cfvo type="percent" val="20"/>
        <cfvo type="percent" val="40"/>
        <cfvo type="percent" val="60"/>
        <cfvo type="percent" val="80"/>
      </iconSet>
    </cfRule>
  </conditionalFormatting>
  <conditionalFormatting sqref="AC7:AG7">
    <cfRule type="iconSet" priority="1">
      <iconSet iconSet="5Arrows">
        <cfvo type="percent" val="0"/>
        <cfvo type="percent" val="20"/>
        <cfvo type="percent" val="40"/>
        <cfvo type="percent" val="60"/>
        <cfvo type="percent" val="80"/>
      </iconSet>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3E858-4AC9-4DB1-B1EB-0F679887AEE0}">
  <dimension ref="A2:E3"/>
  <sheetViews>
    <sheetView workbookViewId="0">
      <selection activeCell="E3" sqref="E3"/>
    </sheetView>
  </sheetViews>
  <sheetFormatPr defaultRowHeight="14.4" x14ac:dyDescent="0.3"/>
  <cols>
    <col min="1" max="2" width="15.5546875" customWidth="1"/>
    <col min="3" max="3" width="11.33203125" bestFit="1" customWidth="1"/>
    <col min="4" max="4" width="14.109375" customWidth="1"/>
    <col min="5" max="5" width="12" bestFit="1" customWidth="1"/>
  </cols>
  <sheetData>
    <row r="2" spans="1:5" x14ac:dyDescent="0.3">
      <c r="A2" t="s">
        <v>44</v>
      </c>
      <c r="B2" t="s">
        <v>48</v>
      </c>
      <c r="C2" t="s">
        <v>45</v>
      </c>
      <c r="D2" t="s">
        <v>46</v>
      </c>
      <c r="E2" t="s">
        <v>47</v>
      </c>
    </row>
    <row r="3" spans="1:5" x14ac:dyDescent="0.3">
      <c r="A3" s="6">
        <f>SUM(superstore_sales_with_issues!F2:F201)</f>
        <v>282687.81052631582</v>
      </c>
      <c r="B3" s="6">
        <f>AVERAGE(superstore_sales_with_issues!F2:F201)</f>
        <v>1413.4390526315792</v>
      </c>
      <c r="C3" s="6">
        <f>SUM(superstore_sales_with_issues!G2:G201)</f>
        <v>46374.863157894768</v>
      </c>
      <c r="D3" s="7">
        <f>COUNTA(superstore_sales_with_issues!A2:A201)</f>
        <v>200</v>
      </c>
      <c r="E3" s="8">
        <f>C3/A3*100</f>
        <v>16.404974473979898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superstore_sales_with_issues</vt:lpstr>
      <vt:lpstr>Dashboard</vt:lpstr>
      <vt:lpstr>KPI_Summary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Adarsh Kore</dc:creator>
  <cp:lastModifiedBy>Adarsh Kore</cp:lastModifiedBy>
  <dcterms:modified xsi:type="dcterms:W3CDTF">2025-02-21T16:58:40Z</dcterms:modified>
</cp:coreProperties>
</file>